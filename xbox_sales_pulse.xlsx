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álise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Dicionário" sheetId="4" state="visible" r:id="rId4"/>
    <sheet xmlns:r="http://schemas.openxmlformats.org/officeDocument/2006/relationships" name="Guia" sheetId="5" state="visible" r:id="rId5"/>
    <sheet xmlns:r="http://schemas.openxmlformats.org/officeDocument/2006/relationships" name="Apoio" sheetId="6" state="hidden" r:id="rId6"/>
  </sheets>
  <definedNames>
    <definedName name="lista_planos">'Apoio'!$A$4:$A$7</definedName>
    <definedName name="lista_tipos">'Apoio'!$B$4:$B$7</definedName>
    <definedName name="lista_renovacao">'Apoio'!$C$4:$C$6</definedName>
    <definedName name="filtro_plano">'Dashboard'!$C$6</definedName>
    <definedName name="filtro_tipo">'Dashboard'!$G$6</definedName>
    <definedName name="filtro_renovacao">'Dashboard'!$K$6</definedName>
    <definedName name="base_id">'Base'!$A$5:$A$299</definedName>
    <definedName name="base_plano">'Base'!$C$5:$C$299</definedName>
    <definedName name="base_inicio">'Base'!$D$5:$D$299</definedName>
    <definedName name="base_renovacao">'Base'!$E$5:$E$299</definedName>
    <definedName name="base_preco">'Base'!$F$5:$F$299</definedName>
    <definedName name="base_tipo">'Base'!$G$5:$G$299</definedName>
    <definedName name="base_ea">'Base'!$I$5:$I$299</definedName>
    <definedName name="base_minecraft">'Base'!$K$5:$K$299</definedName>
    <definedName name="base_cupom">'Base'!$L$5:$L$299</definedName>
    <definedName name="base_total">'Base'!$M$5:$M$299</definedName>
    <definedName name="_xlnm.Print_Area" localSheetId="0">'Dashboard'!$A$1:$N$57</definedName>
    <definedName name="_xlnm.Print_Area" localSheetId="1">'Análise'!$A$1:$L$42</definedName>
    <definedName name="_xlnm._FilterDatabase" localSheetId="2" hidden="1">'Base'!$A$4:$P$299</definedName>
    <definedName name="_xlnm.Print_Titles" localSheetId="2">'Base'!$1:$4</definedName>
    <definedName name="_xlnm.Print_Area" localSheetId="2">'Base'!$A$1:$P$299</definedName>
    <definedName name="_xlnm.Print_Area" localSheetId="3">'Dicionário'!$A$1:$E$30</definedName>
    <definedName name="_xlnm.Print_Area" localSheetId="4">'Guia'!$A$1:$C$40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 #,##0.00;[Red]-$ #,##0.00"/>
    <numFmt numFmtId="165" formatCode="0.0%"/>
    <numFmt numFmtId="166" formatCode="yyyy-mm-dd"/>
    <numFmt numFmtId="167" formatCode="mmm/yyyy"/>
    <numFmt numFmtId="168" formatCode="yyyy-mm-dd h:mm:ss"/>
    <numFmt numFmtId="169" formatCode="dd/mm/yyyy"/>
  </numFmts>
  <fonts count="29">
    <font>
      <name val="Calibri"/>
      <family val="2"/>
      <color theme="1"/>
      <sz val="11"/>
      <scheme val="minor"/>
    </font>
    <font>
      <name val="Aptos Display"/>
      <b val="1"/>
      <color rgb="00FFFFFF"/>
      <sz val="23"/>
    </font>
    <font>
      <name val="Aptos"/>
      <b val="1"/>
      <color rgb="0022C55E"/>
      <sz val="9"/>
    </font>
    <font>
      <name val="Aptos"/>
      <b val="1"/>
      <color rgb="00FFFFFF"/>
      <sz val="7"/>
    </font>
    <font>
      <name val="Aptos"/>
      <b val="1"/>
      <color rgb="000B0F14"/>
      <sz val="7"/>
    </font>
    <font>
      <name val="Aptos"/>
      <i val="1"/>
      <color rgb="0064748B"/>
      <sz val="9"/>
    </font>
    <font>
      <name val="Aptos"/>
      <b val="1"/>
      <color rgb="00172033"/>
      <sz val="9"/>
    </font>
    <font>
      <name val="Aptos"/>
      <b val="1"/>
      <color rgb="00FFFFFF"/>
      <sz val="9"/>
    </font>
    <font>
      <name val="Aptos"/>
      <color rgb="00172033"/>
      <sz val="9"/>
    </font>
    <font>
      <name val="Aptos"/>
      <b val="1"/>
      <color rgb="0022C55E"/>
      <sz val="10"/>
    </font>
    <font>
      <name val="Aptos"/>
      <b val="1"/>
      <color rgb="00FFFFFF"/>
      <sz val="8"/>
    </font>
    <font>
      <name val="Aptos"/>
      <color rgb="00172033"/>
      <sz val="8"/>
    </font>
    <font>
      <name val="Aptos"/>
      <b val="1"/>
      <color rgb="0064748B"/>
      <sz val="9"/>
    </font>
    <font>
      <name val="Aptos"/>
      <b val="1"/>
      <color rgb="00172033"/>
      <sz val="11"/>
    </font>
    <font>
      <name val="Aptos"/>
      <b val="1"/>
      <color rgb="0022C55E"/>
      <sz val="8"/>
    </font>
    <font>
      <name val="Aptos"/>
      <b val="1"/>
      <color rgb="0022C55E"/>
      <sz val="18"/>
    </font>
    <font>
      <name val="Aptos"/>
      <b val="1"/>
      <color rgb="0038BDF8"/>
      <sz val="18"/>
    </font>
    <font>
      <name val="Aptos"/>
      <b val="1"/>
      <color rgb="002AE6B1"/>
      <sz val="18"/>
    </font>
    <font>
      <name val="Aptos"/>
      <b val="1"/>
      <color rgb="009BC848"/>
      <sz val="18"/>
    </font>
    <font>
      <name val="Aptos"/>
      <b val="1"/>
      <color rgb="008B5CF6"/>
      <sz val="18"/>
    </font>
    <font>
      <name val="Aptos"/>
      <b val="1"/>
      <color rgb="00F59E0B"/>
      <sz val="18"/>
    </font>
    <font>
      <name val="Aptos"/>
      <b val="1"/>
      <color rgb="009BC848"/>
      <sz val="10"/>
    </font>
    <font>
      <name val="Aptos"/>
      <b val="1"/>
      <color rgb="00EF4444"/>
      <sz val="10"/>
    </font>
    <font>
      <name val="Aptos"/>
      <b val="1"/>
      <color rgb="008B5CF6"/>
      <sz val="10"/>
    </font>
    <font>
      <name val="Aptos"/>
      <b val="1"/>
      <color rgb="002AE6B1"/>
      <sz val="10"/>
    </font>
    <font>
      <name val="Aptos"/>
      <b val="1"/>
      <color rgb="00172033"/>
      <sz val="10"/>
    </font>
    <font>
      <name val="Aptos"/>
      <color rgb="0064748B"/>
      <sz val="9"/>
    </font>
    <font>
      <name val="Aptos"/>
      <b val="1"/>
      <color rgb="000B0F14"/>
      <sz val="10"/>
    </font>
    <font>
      <name val="Aptos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0B0F14"/>
      </patternFill>
    </fill>
    <fill>
      <patternFill patternType="solid">
        <fgColor rgb="001F2937"/>
      </patternFill>
    </fill>
    <fill>
      <patternFill patternType="solid">
        <fgColor rgb="0022C55E"/>
      </patternFill>
    </fill>
    <fill>
      <patternFill patternType="solid">
        <fgColor rgb="00F4F7FA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111827"/>
      </patternFill>
    </fill>
  </fills>
  <borders count="5">
    <border>
      <left/>
      <right/>
      <top/>
      <bottom/>
      <diagonal/>
    </border>
    <border>
      <bottom style="medium">
        <color rgb="0022C55E"/>
      </bottom>
    </border>
    <border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22C55E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5" borderId="2" applyAlignment="1" pivotButton="0" quotePrefix="0" xfId="0">
      <alignment vertical="center"/>
    </xf>
    <xf numFmtId="0" fontId="7" fillId="8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0" fontId="13" fillId="6" borderId="4" applyAlignment="1" applyProtection="1" pivotButton="0" quotePrefix="0" xfId="0">
      <alignment horizontal="center" vertical="center"/>
      <protection locked="0" hidden="0"/>
    </xf>
    <xf numFmtId="0" fontId="14" fillId="8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10" fillId="3" borderId="3" applyAlignment="1" pivotButton="0" quotePrefix="0" xfId="0">
      <alignment horizontal="center" vertical="center" wrapText="1"/>
    </xf>
    <xf numFmtId="164" fontId="15" fillId="7" borderId="3" applyAlignment="1" pivotButton="0" quotePrefix="0" xfId="0">
      <alignment horizontal="center" vertical="center" wrapText="1"/>
    </xf>
    <xf numFmtId="1" fontId="16" fillId="7" borderId="3" applyAlignment="1" pivotButton="0" quotePrefix="0" xfId="0">
      <alignment horizontal="center" vertical="center" wrapText="1"/>
    </xf>
    <xf numFmtId="164" fontId="17" fillId="7" borderId="3" applyAlignment="1" pivotButton="0" quotePrefix="0" xfId="0">
      <alignment horizontal="center" vertical="center" wrapText="1"/>
    </xf>
    <xf numFmtId="165" fontId="18" fillId="7" borderId="3" applyAlignment="1" pivotButton="0" quotePrefix="0" xfId="0">
      <alignment horizontal="center" vertical="center" wrapText="1"/>
    </xf>
    <xf numFmtId="165" fontId="19" fillId="7" borderId="3" applyAlignment="1" pivotButton="0" quotePrefix="0" xfId="0">
      <alignment horizontal="center" vertical="center" wrapText="1"/>
    </xf>
    <xf numFmtId="164" fontId="19" fillId="7" borderId="3" applyAlignment="1" pivotButton="0" quotePrefix="0" xfId="0">
      <alignment horizontal="center" vertical="center" wrapText="1"/>
    </xf>
    <xf numFmtId="164" fontId="20" fillId="7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center" vertical="center" wrapText="1"/>
    </xf>
    <xf numFmtId="0" fontId="21" fillId="7" borderId="3" applyAlignment="1" pivotButton="0" quotePrefix="0" xfId="0">
      <alignment horizontal="center" vertical="center" wrapText="1"/>
    </xf>
    <xf numFmtId="0" fontId="22" fillId="7" borderId="3" applyAlignment="1" pivotButton="0" quotePrefix="0" xfId="0">
      <alignment horizontal="center" vertical="center" wrapText="1"/>
    </xf>
    <xf numFmtId="0" fontId="23" fillId="7" borderId="3" applyAlignment="1" pivotButton="0" quotePrefix="0" xfId="0">
      <alignment horizontal="center" vertical="center" wrapText="1"/>
    </xf>
    <xf numFmtId="0" fontId="24" fillId="7" borderId="3" applyAlignment="1" pivotButton="0" quotePrefix="0" xfId="0">
      <alignment horizontal="center" vertical="center" wrapText="1"/>
    </xf>
    <xf numFmtId="0" fontId="10" fillId="2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/>
    </xf>
    <xf numFmtId="0" fontId="6" fillId="7" borderId="3" applyAlignment="1" pivotButton="0" quotePrefix="0" xfId="0">
      <alignment vertical="center" wrapText="1"/>
    </xf>
    <xf numFmtId="164" fontId="6" fillId="7" borderId="3" applyAlignment="1" pivotButton="0" quotePrefix="0" xfId="0">
      <alignment vertical="center" wrapText="1"/>
    </xf>
    <xf numFmtId="0" fontId="8" fillId="7" borderId="3" applyAlignment="1" pivotButton="0" quotePrefix="0" xfId="0">
      <alignment vertical="center" wrapText="1"/>
    </xf>
    <xf numFmtId="0" fontId="6" fillId="5" borderId="3" applyAlignment="1" pivotButton="0" quotePrefix="0" xfId="0">
      <alignment vertical="center" wrapText="1"/>
    </xf>
    <xf numFmtId="1" fontId="6" fillId="5" borderId="3" applyAlignment="1" pivotButton="0" quotePrefix="0" xfId="0">
      <alignment vertical="center" wrapText="1"/>
    </xf>
    <xf numFmtId="0" fontId="8" fillId="5" borderId="3" applyAlignment="1" pivotButton="0" quotePrefix="0" xfId="0">
      <alignment vertical="center" wrapText="1"/>
    </xf>
    <xf numFmtId="165" fontId="6" fillId="5" borderId="3" applyAlignment="1" pivotButton="0" quotePrefix="0" xfId="0">
      <alignment vertical="center" wrapText="1"/>
    </xf>
    <xf numFmtId="164" fontId="6" fillId="5" borderId="3" applyAlignment="1" pivotButton="0" quotePrefix="0" xfId="0">
      <alignment vertical="center" wrapText="1"/>
    </xf>
    <xf numFmtId="165" fontId="6" fillId="7" borderId="3" applyAlignment="1" pivotButton="0" quotePrefix="0" xfId="0">
      <alignment vertical="center" wrapText="1"/>
    </xf>
    <xf numFmtId="0" fontId="6" fillId="5" borderId="3" pivotButton="0" quotePrefix="0" xfId="0"/>
    <xf numFmtId="164" fontId="9" fillId="7" borderId="3" pivotButton="0" quotePrefix="0" xfId="0"/>
    <xf numFmtId="0" fontId="10" fillId="3" borderId="3" applyAlignment="1" pivotButton="0" quotePrefix="0" xfId="0">
      <alignment horizontal="center"/>
    </xf>
    <xf numFmtId="167" fontId="11" fillId="7" borderId="3" applyAlignment="1" pivotButton="0" quotePrefix="0" xfId="0">
      <alignment horizontal="center"/>
    </xf>
    <xf numFmtId="164" fontId="11" fillId="7" borderId="3" applyAlignment="1" pivotButton="0" quotePrefix="0" xfId="0">
      <alignment horizontal="center"/>
    </xf>
    <xf numFmtId="0" fontId="11" fillId="7" borderId="3" applyAlignment="1" pivotButton="0" quotePrefix="0" xfId="0">
      <alignment horizontal="center"/>
    </xf>
    <xf numFmtId="167" fontId="11" fillId="5" borderId="3" applyAlignment="1" pivotButton="0" quotePrefix="0" xfId="0">
      <alignment horizontal="center"/>
    </xf>
    <xf numFmtId="164" fontId="11" fillId="5" borderId="3" applyAlignment="1" pivotButton="0" quotePrefix="0" xfId="0">
      <alignment horizontal="center"/>
    </xf>
    <xf numFmtId="0" fontId="11" fillId="5" borderId="3" applyAlignment="1" pivotButton="0" quotePrefix="0" xfId="0">
      <alignment horizontal="center"/>
    </xf>
    <xf numFmtId="0" fontId="11" fillId="7" borderId="3" applyAlignment="1" pivotButton="0" quotePrefix="0" xfId="0">
      <alignment vertical="center"/>
    </xf>
    <xf numFmtId="169" fontId="11" fillId="7" borderId="3" applyAlignment="1" pivotButton="0" quotePrefix="0" xfId="0">
      <alignment vertical="center"/>
    </xf>
    <xf numFmtId="164" fontId="11" fillId="7" borderId="3" applyAlignment="1" pivotButton="0" quotePrefix="0" xfId="0">
      <alignment vertical="center"/>
    </xf>
    <xf numFmtId="167" fontId="11" fillId="7" borderId="3" applyAlignment="1" pivotButton="0" quotePrefix="0" xfId="0">
      <alignment vertical="center"/>
    </xf>
    <xf numFmtId="0" fontId="11" fillId="5" borderId="3" applyAlignment="1" pivotButton="0" quotePrefix="0" xfId="0">
      <alignment vertical="center"/>
    </xf>
    <xf numFmtId="169" fontId="11" fillId="5" borderId="3" applyAlignment="1" pivotButton="0" quotePrefix="0" xfId="0">
      <alignment vertical="center"/>
    </xf>
    <xf numFmtId="164" fontId="11" fillId="5" borderId="3" applyAlignment="1" pivotButton="0" quotePrefix="0" xfId="0">
      <alignment vertical="center"/>
    </xf>
    <xf numFmtId="167" fontId="11" fillId="5" borderId="3" applyAlignment="1" pivotButton="0" quotePrefix="0" xfId="0">
      <alignment vertical="center"/>
    </xf>
    <xf numFmtId="0" fontId="25" fillId="6" borderId="3" applyAlignment="1" pivotButton="0" quotePrefix="0" xfId="0">
      <alignment horizontal="center" vertical="center" wrapText="1"/>
    </xf>
    <xf numFmtId="0" fontId="26" fillId="5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left" vertical="center" wrapText="1"/>
    </xf>
    <xf numFmtId="0" fontId="27" fillId="4" borderId="3" applyAlignment="1" pivotButton="0" quotePrefix="0" xfId="0">
      <alignment horizontal="center" vertical="center" wrapText="1"/>
    </xf>
    <xf numFmtId="0" fontId="28" fillId="2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2">
    <dxf>
      <font>
        <b val="1"/>
        <color rgb="0022C55E"/>
      </font>
      <fill>
        <patternFill patternType="solid">
          <fgColor rgb="00DCFCE7"/>
        </patternFill>
      </fill>
    </dxf>
    <dxf>
      <font>
        <b val="1"/>
        <color rgb="00EF4444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mês</a:t>
            </a:r>
          </a:p>
        </rich>
      </tx>
    </title>
    <plotArea>
      <lineChart>
        <grouping val="standard"/>
        <ser>
          <idx val="0"/>
          <order val="0"/>
          <tx>
            <strRef>
              <f>'Análise'!B25</f>
            </strRef>
          </tx>
          <spPr>
            <a:ln xmlns:a="http://schemas.openxmlformats.org/drawingml/2006/main" w="26000">
              <a:solidFill>
                <a:srgbClr val="22C55E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'Análise'!$A$26:$A$37</f>
            </numRef>
          </cat>
          <val>
            <numRef>
              <f>'Análise'!$B$26:$B$37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plano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'Análise'!F25</f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>
              <a:prstDash val="solid"/>
            </a:ln>
          </spPr>
          <cat>
            <numRef>
              <f>'Análise'!$E$26:$E$28</f>
            </numRef>
          </cat>
          <val>
            <numRef>
              <f>'Análise'!$F$26:$F$28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numFmt formatCode="$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periodicidade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'Análise'!F32</f>
            </strRef>
          </tx>
          <spPr>
            <a:solidFill xmlns:a="http://schemas.openxmlformats.org/drawingml/2006/main">
              <a:srgbClr val="38BDF8"/>
            </a:solidFill>
            <a:ln xmlns:a="http://schemas.openxmlformats.org/drawingml/2006/main">
              <a:prstDash val="solid"/>
            </a:ln>
          </spPr>
          <cat>
            <numRef>
              <f>'Análise'!$E$33:$E$35</f>
            </numRef>
          </cat>
          <val>
            <numRef>
              <f>'Análise'!$F$33:$F$35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Adicionais por plano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'Análise'!J32</f>
            </strRef>
          </tx>
          <spPr>
            <a:solidFill xmlns:a="http://schemas.openxmlformats.org/drawingml/2006/main">
              <a:srgbClr val="8B5CF6"/>
            </a:solidFill>
            <a:ln xmlns:a="http://schemas.openxmlformats.org/drawingml/2006/main">
              <a:prstDash val="solid"/>
            </a:ln>
          </spPr>
          <cat>
            <numRef>
              <f>'Análise'!$I$33:$I$35</f>
            </numRef>
          </cat>
          <val>
            <numRef>
              <f>'Análise'!$J$33:$J$35</f>
            </numRef>
          </val>
        </ser>
        <ser>
          <idx val="1"/>
          <order val="1"/>
          <tx>
            <strRef>
              <f>'Análise'!K32</f>
            </strRef>
          </tx>
          <spPr>
            <a:solidFill xmlns:a="http://schemas.openxmlformats.org/drawingml/2006/main">
              <a:srgbClr val="2AE6B1"/>
            </a:solidFill>
            <a:ln xmlns:a="http://schemas.openxmlformats.org/drawingml/2006/main">
              <a:prstDash val="solid"/>
            </a:ln>
          </spPr>
          <cat>
            <numRef>
              <f>'Análise'!$I$33:$I$35</f>
            </numRef>
          </cat>
          <val>
            <numRef>
              <f>'Análise'!$K$33:$K$35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Xbox Sales Pulse</author>
  </authors>
  <commentList>
    <comment ref="C6" authorId="0" shapeId="0">
      <text>
        <t>Todos os cartões e gráficos respondem aos três filtros.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4752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20</row>
      <rowOff>0</rowOff>
    </from>
    <ext cx="4392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35</row>
      <rowOff>0</rowOff>
    </from>
    <ext cx="4608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35</row>
      <rowOff>0</rowOff>
    </from>
    <ext cx="4608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Assinaturas" displayName="tblAssinaturas" ref="A4:P299" headerRowCount="1">
  <autoFilter ref="A4:P299"/>
  <tableColumns count="16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 Price"/>
    <tableColumn id="10" name="Minecraft Season Pass"/>
    <tableColumn id="11" name="Minecraft Season Pass Price"/>
    <tableColumn id="12" name="Coupon Value"/>
    <tableColumn id="13" name="Total Value"/>
    <tableColumn id="14" name="Calculated Value"/>
    <tableColumn id="15" name="Validation"/>
    <tableColumn id="16" name="Month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hyperlink" Target="#'An&#225;lise'!A1" TargetMode="External" Id="rId2"/><Relationship Type="http://schemas.openxmlformats.org/officeDocument/2006/relationships/hyperlink" Target="#'Base'!A1" TargetMode="External" Id="rId3"/><Relationship Type="http://schemas.openxmlformats.org/officeDocument/2006/relationships/hyperlink" Target="#'Dicion&#225;rio'!A1" TargetMode="External" Id="rId4"/><Relationship Type="http://schemas.openxmlformats.org/officeDocument/2006/relationships/hyperlink" Target="#'Guia'!A1" TargetMode="External" Id="rId5"/><Relationship Type="http://schemas.openxmlformats.org/officeDocument/2006/relationships/drawing" Target="/xl/drawings/drawing1.xml" Id="rId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hyperlink" Target="#'An&#225;lise'!A1" TargetMode="External" Id="rId2"/><Relationship Type="http://schemas.openxmlformats.org/officeDocument/2006/relationships/hyperlink" Target="#'Base'!A1" TargetMode="External" Id="rId3"/><Relationship Type="http://schemas.openxmlformats.org/officeDocument/2006/relationships/hyperlink" Target="#'Dicion&#225;rio'!A1" TargetMode="External" Id="rId4"/><Relationship Type="http://schemas.openxmlformats.org/officeDocument/2006/relationships/hyperlink" Target="#'Guia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hyperlink" Target="#'An&#225;lise'!A1" TargetMode="External" Id="rId2"/><Relationship Type="http://schemas.openxmlformats.org/officeDocument/2006/relationships/hyperlink" Target="#'Base'!A1" TargetMode="External" Id="rId3"/><Relationship Type="http://schemas.openxmlformats.org/officeDocument/2006/relationships/hyperlink" Target="#'Dicion&#225;rio'!A1" TargetMode="External" Id="rId4"/><Relationship Type="http://schemas.openxmlformats.org/officeDocument/2006/relationships/hyperlink" Target="#'Guia'!A1" TargetMode="External" Id="rId5"/><Relationship Type="http://schemas.openxmlformats.org/officeDocument/2006/relationships/table" Target="/xl/tables/table1.xm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hyperlink" Target="#'An&#225;lise'!A1" TargetMode="External" Id="rId2"/><Relationship Type="http://schemas.openxmlformats.org/officeDocument/2006/relationships/hyperlink" Target="#'Base'!A1" TargetMode="External" Id="rId3"/><Relationship Type="http://schemas.openxmlformats.org/officeDocument/2006/relationships/hyperlink" Target="#'Dicion&#225;rio'!A1" TargetMode="External" Id="rId4"/><Relationship Type="http://schemas.openxmlformats.org/officeDocument/2006/relationships/hyperlink" Target="#'Guia'!A1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hyperlink" Target="#'An&#225;lise'!A1" TargetMode="External" Id="rId2"/><Relationship Type="http://schemas.openxmlformats.org/officeDocument/2006/relationships/hyperlink" Target="#'Base'!A1" TargetMode="External" Id="rId3"/><Relationship Type="http://schemas.openxmlformats.org/officeDocument/2006/relationships/hyperlink" Target="#'Dicion&#225;rio'!A1" TargetMode="External" Id="rId4"/><Relationship Type="http://schemas.openxmlformats.org/officeDocument/2006/relationships/hyperlink" Target="#'Guia'!A1" TargetMode="External" Id="rId5"/><Relationship Type="http://schemas.openxmlformats.org/officeDocument/2006/relationships/hyperlink" Target="#'Dashboard'!A1" TargetMode="External" Id="rId6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N57"/>
  <sheetViews>
    <sheetView showGridLines="0" zoomScale="7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3.5" customWidth="1" min="14" max="14"/>
  </cols>
  <sheetData>
    <row r="1" ht="24" customHeight="1">
      <c r="A1" s="1" t="inlineStr">
        <is>
          <t>XBOX SALES PULSE</t>
        </is>
      </c>
      <c r="J1" s="2" t="inlineStr">
        <is>
          <t>PROJETO AUTORAL • DIO</t>
        </is>
      </c>
    </row>
    <row r="2" ht="24" customHeight="1">
      <c r="J2" s="3" t="inlineStr">
        <is>
          <t>DASHBOARD</t>
        </is>
      </c>
      <c r="K2" s="4" t="inlineStr">
        <is>
          <t>ANÁLISE</t>
        </is>
      </c>
      <c r="L2" s="4" t="inlineStr">
        <is>
          <t>BASE</t>
        </is>
      </c>
      <c r="M2" s="4" t="inlineStr">
        <is>
          <t>DICIONÁRIO</t>
        </is>
      </c>
      <c r="N2" s="4" t="inlineStr">
        <is>
          <t>GUIA</t>
        </is>
      </c>
    </row>
    <row r="3" ht="24" customHeight="1">
      <c r="A3" s="5" t="inlineStr">
        <is>
          <t>Dashboard autoral de assinaturas: receita, planos, recorrência e adicionais em uma visão executiva.</t>
        </is>
      </c>
    </row>
    <row r="4" ht="21" customHeight="1">
      <c r="A4" s="6" t="str">
        <f>"Base didática: "&amp;Análise!B7&amp;" assinaturas • período "&amp;TEXT(MIN(Base!D5:D299),"dd/mm/yyyy")&amp;" a "&amp;TEXT(MAX(Base!D5:D299),"dd/mm/yyyy")&amp;" • valores em US$"</f>
        <v>Base didática: 295 assinaturas • período 01/01/2024 a 16/12/2024 • valores em US$</v>
      </c>
    </row>
    <row r="5" ht="21" customHeight="1">
      <c r="A5" s="7" t="inlineStr">
        <is>
          <t>FILTROS INTERATIVOS — selecione uma opção nas células verdes</t>
        </is>
      </c>
    </row>
    <row r="6" ht="21" customHeight="1">
      <c r="A6" s="8" t="inlineStr">
        <is>
          <t>PLANO</t>
        </is>
      </c>
      <c r="C6" s="9" t="inlineStr">
        <is>
          <t>Todos</t>
        </is>
      </c>
      <c r="E6" s="8" t="inlineStr">
        <is>
          <t>PERIODICIDADE</t>
        </is>
      </c>
      <c r="G6" s="9" t="inlineStr">
        <is>
          <t>Todos</t>
        </is>
      </c>
      <c r="I6" s="8" t="inlineStr">
        <is>
          <t>RENOVAÇÃO</t>
        </is>
      </c>
      <c r="K6" s="9" t="inlineStr">
        <is>
          <t>Todos</t>
        </is>
      </c>
      <c r="M6" s="10" t="inlineStr">
        <is>
          <t>Para limpar:
escolha Todos</t>
        </is>
      </c>
    </row>
    <row r="7" ht="21" customHeight="1"/>
    <row r="8" ht="21" customHeight="1">
      <c r="A8" s="11" t="str">
        <f>"Filtros ativos: Plano = "&amp;filtro_plano&amp;" • Periodicidade = "&amp;filtro_tipo&amp;" • Renovação = "&amp;filtro_renovacao</f>
        <v>Filtros ativos: Plano = Todos • Periodicidade = Todos • Renovação = Todos</v>
      </c>
    </row>
    <row r="9" ht="21" customHeight="1"/>
    <row r="10" ht="21" customHeight="1">
      <c r="A10" s="12" t="inlineStr">
        <is>
          <t>RECEITA TOTAL</t>
        </is>
      </c>
      <c r="D10" s="12" t="inlineStr">
        <is>
          <t>ASSINANTES</t>
        </is>
      </c>
      <c r="G10" s="12" t="inlineStr">
        <is>
          <t>TICKET MÉDIO</t>
        </is>
      </c>
      <c r="J10" s="12" t="inlineStr">
        <is>
          <t>% AUTO RENOVAÇÃO</t>
        </is>
      </c>
      <c r="M10" s="12" t="inlineStr">
        <is>
          <t>BASE VALIDADA</t>
        </is>
      </c>
    </row>
    <row r="11" ht="21" customHeight="1">
      <c r="A11" s="13">
        <f>Análise!B6</f>
        <v>7633</v>
      </c>
      <c r="D11" s="14">
        <f>Análise!B7</f>
        <v>295</v>
      </c>
      <c r="G11" s="15">
        <f>Análise!B8</f>
        <v>25.8745762711864</v>
      </c>
      <c r="J11" s="16">
        <f>Análise!B9</f>
        <v>0.501694915254237</v>
      </c>
      <c r="M11" s="17">
        <f>Análise!B14</f>
        <v>1</v>
      </c>
    </row>
    <row r="12" ht="21" customHeight="1"/>
    <row r="13" ht="21" customHeight="1"/>
    <row r="14" ht="21" customHeight="1"/>
    <row r="15" ht="21" customHeight="1">
      <c r="A15" s="12" t="inlineStr">
        <is>
          <t>RECEITA DOS PLANOS</t>
        </is>
      </c>
      <c r="D15" s="12" t="inlineStr">
        <is>
          <t>EA PLAY</t>
        </is>
      </c>
      <c r="G15" s="12" t="inlineStr">
        <is>
          <t>MINECRAFT</t>
        </is>
      </c>
      <c r="J15" s="12" t="inlineStr">
        <is>
          <t>CUPONS CONCEDIDOS</t>
        </is>
      </c>
      <c r="M15" s="12" t="inlineStr">
        <is>
          <t>REGISTROS</t>
        </is>
      </c>
    </row>
    <row r="16" ht="21" customHeight="1">
      <c r="A16" s="13">
        <f>Análise!B10</f>
        <v>2935</v>
      </c>
      <c r="D16" s="18">
        <f>Análise!B11</f>
        <v>2940</v>
      </c>
      <c r="G16" s="15">
        <f>Análise!B12</f>
        <v>3880</v>
      </c>
      <c r="J16" s="19">
        <f>Análise!B13</f>
        <v>2122</v>
      </c>
      <c r="M16" s="14">
        <f>Análise!B7</f>
        <v>295</v>
      </c>
    </row>
    <row r="17" ht="21" customHeight="1"/>
    <row r="18" ht="21" customHeight="1"/>
    <row r="19" ht="21" customHeight="1"/>
    <row r="20" ht="21" customHeight="1">
      <c r="A20" s="20" t="inlineStr">
        <is>
          <t>VISUALIZAÇÕES DINÂMICAS</t>
        </is>
      </c>
    </row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>
      <c r="A51" s="7" t="inlineStr">
        <is>
          <t>PERGUNTAS-CHAVE DO DESAFIO — BASE COMPLETA</t>
        </is>
      </c>
    </row>
    <row r="52" ht="21" customHeight="1">
      <c r="A52" s="21" t="inlineStr">
        <is>
          <t>Planos anuais
$ 1.754,00</t>
        </is>
      </c>
      <c r="D52" s="22" t="inlineStr">
        <is>
          <t>Anual com renovação
$ 1.537,00</t>
        </is>
      </c>
      <c r="G52" s="23" t="inlineStr">
        <is>
          <t>Anual sem renovação
$ 217,00</t>
        </is>
      </c>
      <c r="J52" s="24" t="inlineStr">
        <is>
          <t>EA Play
$ 2.940,00</t>
        </is>
      </c>
      <c r="M52" s="25" t="inlineStr">
        <is>
          <t>Minecraft
$ 3.880,00</t>
        </is>
      </c>
    </row>
    <row r="53" ht="21" customHeight="1"/>
    <row r="54" ht="21" customHeight="1"/>
    <row r="55" ht="21" customHeight="1"/>
    <row r="56" ht="21" customHeight="1">
      <c r="A56" s="26" t="inlineStr">
        <is>
          <t>Projeto autoral: 0Barone (@gabrielnasciimentoleandro-arch) • Base didática DIO • dashboard não oficial • Xbox, Game Pass, EA Play e Minecraft pertencem aos respectivos titulares.</t>
        </is>
      </c>
    </row>
    <row r="57" ht="21" customHeight="1"/>
    <row r="58" ht="21" customHeight="1"/>
  </sheetData>
  <mergeCells count="41">
    <mergeCell ref="A56:N57"/>
    <mergeCell ref="G10:I10"/>
    <mergeCell ref="M52:N54"/>
    <mergeCell ref="E6:F7"/>
    <mergeCell ref="G6:H7"/>
    <mergeCell ref="M6:N7"/>
    <mergeCell ref="A16:C18"/>
    <mergeCell ref="J1:N1"/>
    <mergeCell ref="A51:N51"/>
    <mergeCell ref="D52:F54"/>
    <mergeCell ref="D11:F13"/>
    <mergeCell ref="G15:I15"/>
    <mergeCell ref="D16:F18"/>
    <mergeCell ref="J11:L13"/>
    <mergeCell ref="M11:N13"/>
    <mergeCell ref="M10:N10"/>
    <mergeCell ref="A1:I2"/>
    <mergeCell ref="D15:F15"/>
    <mergeCell ref="J16:L18"/>
    <mergeCell ref="A10:C10"/>
    <mergeCell ref="A3:N3"/>
    <mergeCell ref="M15:N15"/>
    <mergeCell ref="M16:N18"/>
    <mergeCell ref="C6:D7"/>
    <mergeCell ref="I6:J7"/>
    <mergeCell ref="K6:L7"/>
    <mergeCell ref="J52:L54"/>
    <mergeCell ref="A52:C54"/>
    <mergeCell ref="A5:N5"/>
    <mergeCell ref="A15:C15"/>
    <mergeCell ref="G16:I18"/>
    <mergeCell ref="G52:I54"/>
    <mergeCell ref="D10:F10"/>
    <mergeCell ref="A8:N8"/>
    <mergeCell ref="J10:L10"/>
    <mergeCell ref="A4:N4"/>
    <mergeCell ref="A20:N20"/>
    <mergeCell ref="A6:B7"/>
    <mergeCell ref="A11:C13"/>
    <mergeCell ref="G11:I13"/>
    <mergeCell ref="J15:L15"/>
  </mergeCells>
  <dataValidations count="3">
    <dataValidation sqref="C6" showDropDown="0" showInputMessage="1" showErrorMessage="1" allowBlank="0" errorTitle="Filtro inválido" error="Escolha uma opção disponível na lista." promptTitle="Filtro do dashboard" prompt="Filtre Core, Standard, Ultimate ou Todos." type="list">
      <formula1>=lista_planos</formula1>
    </dataValidation>
    <dataValidation sqref="G6" showDropDown="0" showInputMessage="1" showErrorMessage="1" allowBlank="0" errorTitle="Filtro inválido" error="Escolha uma opção disponível na lista." promptTitle="Filtro do dashboard" prompt="Filtre Monthly, Quarterly, Annual ou Todos." type="list">
      <formula1>=lista_tipos</formula1>
    </dataValidation>
    <dataValidation sqref="K6" showDropDown="0" showInputMessage="1" showErrorMessage="1" allowBlank="0" errorTitle="Filtro inválido" error="Escolha uma opção disponível na lista." promptTitle="Filtro do dashboard" prompt="Filtre Yes, No ou Todos." type="list">
      <formula1>=lista_renovacao</formula1>
    </dataValidation>
  </dataValidations>
  <hyperlinks>
    <hyperlink ref="J2" ns1:id="rId1"/>
    <hyperlink ref="K2" ns1:id="rId2"/>
    <hyperlink ref="L2" ns1:id="rId3"/>
    <hyperlink ref="M2" ns1:id="rId4"/>
    <hyperlink ref="N2" ns1:id="rId5"/>
  </hyperlinks>
  <pageMargins left="0.25" right="0.25" top="0.35" bottom="0.35" header="0.5" footer="0.5"/>
  <pageSetup orientation="landscape" paperSize="8" fitToHeight="0" fitToWidth="1"/>
  <headerFooter>
    <oddHeader/>
    <oddFooter>&amp;C&amp;8 &amp;K64748BXbox Sales Pulse • 0Barone (@gabrielnasciimentoleandro-arch)</oddFooter>
    <evenHeader/>
    <evenFooter/>
    <firstHeader/>
    <firstFooter/>
  </headerFooter>
  <drawing ns1:id="rId6"/>
  <legacyDrawing ns1:id="anysvml"/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N4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50" customWidth="1" min="3" max="3"/>
    <col width="4" customWidth="1" min="4" max="4"/>
    <col width="20" customWidth="1" min="5" max="5"/>
    <col width="18" customWidth="1" min="6" max="6"/>
    <col width="15" customWidth="1" min="7" max="7"/>
    <col width="4" customWidth="1" min="8" max="8"/>
    <col width="20" customWidth="1" min="9" max="9"/>
    <col width="18" customWidth="1" min="10" max="10"/>
    <col width="18" customWidth="1" min="11" max="11"/>
    <col width="18" customWidth="1" min="12" max="12"/>
    <col width="4" customWidth="1" min="13" max="13"/>
    <col width="4" customWidth="1" min="14" max="14"/>
  </cols>
  <sheetData>
    <row r="1" ht="24" customHeight="1">
      <c r="A1" s="1" t="inlineStr">
        <is>
          <t>ANÁLISE E CÁLCULOS</t>
        </is>
      </c>
      <c r="J1" s="2" t="inlineStr">
        <is>
          <t>PROJETO AUTORAL • DIO</t>
        </is>
      </c>
    </row>
    <row r="2" ht="24" customHeight="1">
      <c r="J2" s="4" t="inlineStr">
        <is>
          <t>DASHBOARD</t>
        </is>
      </c>
      <c r="K2" s="3" t="inlineStr">
        <is>
          <t>ANÁLISE</t>
        </is>
      </c>
      <c r="L2" s="4" t="inlineStr">
        <is>
          <t>BASE</t>
        </is>
      </c>
      <c r="M2" s="4" t="inlineStr">
        <is>
          <t>DICIONÁRIO</t>
        </is>
      </c>
      <c r="N2" s="4" t="inlineStr">
        <is>
          <t>GUIA</t>
        </is>
      </c>
    </row>
    <row r="3" ht="24" customHeight="1">
      <c r="A3" s="5" t="inlineStr">
        <is>
          <t>Camada transparente de fórmulas que alimenta os cartões e gráficos do Dashboard.</t>
        </is>
      </c>
    </row>
    <row r="4">
      <c r="A4" s="11" t="str">
        <f>"Filtros: "&amp;filtro_plano&amp;" | "&amp;filtro_tipo&amp;" | "&amp;filtro_renovacao</f>
        <v>Filtros: Todos | Todos | Todos</v>
      </c>
    </row>
    <row r="5">
      <c r="A5" s="27" t="inlineStr">
        <is>
          <t>Indicador dinâmico</t>
        </is>
      </c>
      <c r="B5" s="27" t="inlineStr">
        <is>
          <t>Resultado</t>
        </is>
      </c>
      <c r="C5" s="27" t="inlineStr">
        <is>
          <t>Fórmula / interpretação</t>
        </is>
      </c>
    </row>
    <row r="6" ht="24" customHeight="1">
      <c r="A6" s="28" t="inlineStr">
        <is>
          <t>Receita total</t>
        </is>
      </c>
      <c r="B6" s="29">
        <f>SUMIFS(Base!$M$5:$M$299,Base!$C$5:$C$299,IF(filtro_plano="Todos","*",filtro_plano),Base!$G$5:$G$299,IF(filtro_tipo="Todos","*",filtro_tipo),Base!$E$5:$E$299,IF(filtro_renovacao="Todos","*",filtro_renovacao))</f>
        <v>7633</v>
      </c>
      <c r="C6" s="30" t="inlineStr">
        <is>
          <t>Soma de Total Value com os filtros ativos</t>
        </is>
      </c>
    </row>
    <row r="7" ht="24" customHeight="1">
      <c r="A7" s="31" t="inlineStr">
        <is>
          <t>Assinantes</t>
        </is>
      </c>
      <c r="B7" s="32">
        <f>COUNTIFS(Base!$C$5:$C$299,IF(filtro_plano="Todos","*",filtro_plano),Base!$G$5:$G$299,IF(filtro_tipo="Todos","*",filtro_tipo),Base!$E$5:$E$299,IF(filtro_renovacao="Todos","*",filtro_renovacao))</f>
        <v>295</v>
      </c>
      <c r="C7" s="33" t="inlineStr">
        <is>
          <t>Quantidade de registros filtrados</t>
        </is>
      </c>
    </row>
    <row r="8" ht="24" customHeight="1">
      <c r="A8" s="28" t="inlineStr">
        <is>
          <t>Ticket médio</t>
        </is>
      </c>
      <c r="B8" s="29">
        <f>IFERROR(B6/B7,0)</f>
        <v>25.8745762711864</v>
      </c>
      <c r="C8" s="30" t="inlineStr">
        <is>
          <t>Receita / assinantes</t>
        </is>
      </c>
    </row>
    <row r="9" ht="24" customHeight="1">
      <c r="A9" s="31" t="inlineStr">
        <is>
          <t>% auto renovação</t>
        </is>
      </c>
      <c r="B9" s="34">
        <f>IFERROR(COUNTIFS(Base!$C$5:$C$299,IF(filtro_plano="Todos","*",filtro_plano),Base!$G$5:$G$299,IF(filtro_tipo="Todos","*",filtro_tipo),Base!$E$5:$E$299,IF(filtro_renovacao="Todos","*",filtro_renovacao),Base!$E$5:$E$299,"Yes")/B7,0)</f>
        <v>0.501694915254237</v>
      </c>
      <c r="C9" s="33" t="inlineStr">
        <is>
          <t>Participação de Auto Renewal = Yes</t>
        </is>
      </c>
    </row>
    <row r="10" ht="24" customHeight="1">
      <c r="A10" s="28" t="inlineStr">
        <is>
          <t>Receita dos planos</t>
        </is>
      </c>
      <c r="B10" s="29">
        <f>SUMIFS(Base!$F$5:$F$299,Base!$C$5:$C$299,IF(filtro_plano="Todos","*",filtro_plano),Base!$G$5:$G$299,IF(filtro_tipo="Todos","*",filtro_tipo),Base!$E$5:$E$299,IF(filtro_renovacao="Todos","*",filtro_renovacao))</f>
        <v>2935</v>
      </c>
      <c r="C10" s="30" t="inlineStr">
        <is>
          <t>Subscription Price</t>
        </is>
      </c>
    </row>
    <row r="11" ht="24" customHeight="1">
      <c r="A11" s="31" t="inlineStr">
        <is>
          <t>EA Play</t>
        </is>
      </c>
      <c r="B11" s="35">
        <f>SUMIFS(Base!$I$5:$I$299,Base!$C$5:$C$299,IF(filtro_plano="Todos","*",filtro_plano),Base!$G$5:$G$299,IF(filtro_tipo="Todos","*",filtro_tipo),Base!$E$5:$E$299,IF(filtro_renovacao="Todos","*",filtro_renovacao))</f>
        <v>2940</v>
      </c>
      <c r="C11" s="33" t="inlineStr">
        <is>
          <t>Receita do passe adicional</t>
        </is>
      </c>
    </row>
    <row r="12" ht="24" customHeight="1">
      <c r="A12" s="28" t="inlineStr">
        <is>
          <t>Minecraft</t>
        </is>
      </c>
      <c r="B12" s="29">
        <f>SUMIFS(Base!$K$5:$K$299,Base!$C$5:$C$299,IF(filtro_plano="Todos","*",filtro_plano),Base!$G$5:$G$299,IF(filtro_tipo="Todos","*",filtro_tipo),Base!$E$5:$E$299,IF(filtro_renovacao="Todos","*",filtro_renovacao))</f>
        <v>3880</v>
      </c>
      <c r="C12" s="30" t="inlineStr">
        <is>
          <t>Receita do passe adicional</t>
        </is>
      </c>
    </row>
    <row r="13" ht="24" customHeight="1">
      <c r="A13" s="31" t="inlineStr">
        <is>
          <t>Cupons</t>
        </is>
      </c>
      <c r="B13" s="35">
        <f>SUMIFS(Base!$L$5:$L$299,Base!$C$5:$C$299,IF(filtro_plano="Todos","*",filtro_plano),Base!$G$5:$G$299,IF(filtro_tipo="Todos","*",filtro_tipo),Base!$E$5:$E$299,IF(filtro_renovacao="Todos","*",filtro_renovacao))</f>
        <v>2122</v>
      </c>
      <c r="C13" s="33" t="inlineStr">
        <is>
          <t>Descontos concedidos</t>
        </is>
      </c>
    </row>
    <row r="14" ht="24" customHeight="1">
      <c r="A14" s="28" t="inlineStr">
        <is>
          <t>Base validada</t>
        </is>
      </c>
      <c r="B14" s="36">
        <f>COUNTIF(Base!$O$5:$O$299,"OK")/COUNTA(Base!$A$5:$A$299)</f>
        <v>1</v>
      </c>
      <c r="C14" s="30" t="inlineStr">
        <is>
          <t>Total Value = plano + adicionais − cupom</t>
        </is>
      </c>
    </row>
    <row r="16">
      <c r="A16" s="7" t="inlineStr">
        <is>
          <t>PERGUNTAS DE NEGÓCIO — BASE COMPLETA, SEM FILTROS</t>
        </is>
      </c>
    </row>
    <row r="17">
      <c r="A17" s="37" t="inlineStr">
        <is>
          <t>Receita de planos anuais</t>
        </is>
      </c>
      <c r="B17" s="38">
        <f>SUMIFS(Base!$M$5:$M$299,Base!$G$5:$G$299,"Annual")</f>
        <v>1754</v>
      </c>
    </row>
    <row r="18">
      <c r="A18" s="37" t="inlineStr">
        <is>
          <t>Anual com auto renovação</t>
        </is>
      </c>
      <c r="B18" s="38">
        <f>SUMIFS(Base!$M$5:$M$299,Base!$G$5:$G$299,"Annual",Base!$E$5:$E$299,"Yes")</f>
        <v>1537</v>
      </c>
    </row>
    <row r="19">
      <c r="A19" s="37" t="inlineStr">
        <is>
          <t>Anual sem auto renovação</t>
        </is>
      </c>
      <c r="B19" s="38">
        <f>SUMIFS(Base!$M$5:$M$299,Base!$G$5:$G$299,"Annual",Base!$E$5:$E$299,"No")</f>
        <v>217</v>
      </c>
    </row>
    <row r="20">
      <c r="A20" s="37" t="inlineStr">
        <is>
          <t>EA Play Season Pass</t>
        </is>
      </c>
      <c r="B20" s="38">
        <f>SUM(Base!$I$5:$I$299)</f>
        <v>2940</v>
      </c>
    </row>
    <row r="21">
      <c r="A21" s="37" t="inlineStr">
        <is>
          <t>Minecraft Season Pass</t>
        </is>
      </c>
      <c r="B21" s="38">
        <f>SUM(Base!$K$5:$K$299)</f>
        <v>3880</v>
      </c>
    </row>
    <row r="25">
      <c r="A25" s="39" t="inlineStr">
        <is>
          <t>Mês</t>
        </is>
      </c>
      <c r="B25" s="39" t="inlineStr">
        <is>
          <t>Receita</t>
        </is>
      </c>
      <c r="C25" s="39" t="inlineStr">
        <is>
          <t>Assinantes</t>
        </is>
      </c>
      <c r="E25" s="39" t="inlineStr">
        <is>
          <t>Plano</t>
        </is>
      </c>
      <c r="F25" s="39" t="inlineStr">
        <is>
          <t>Receita</t>
        </is>
      </c>
      <c r="G25" s="39" t="inlineStr">
        <is>
          <t>Assinantes</t>
        </is>
      </c>
      <c r="I25" s="39" t="inlineStr">
        <is>
          <t>Auto Renewal</t>
        </is>
      </c>
      <c r="J25" s="39" t="inlineStr">
        <is>
          <t>Receita</t>
        </is>
      </c>
      <c r="K25" s="39" t="inlineStr">
        <is>
          <t>Assinantes</t>
        </is>
      </c>
      <c r="L25" s="39" t="n"/>
    </row>
    <row r="26">
      <c r="A26" s="40" t="n">
        <v>45292</v>
      </c>
      <c r="B26" s="41">
        <f>SUMIFS(Base!$M$5:$M$299,Base!$C$5:$C$299,IF(filtro_plano="Todos","*",filtro_plano),Base!$G$5:$G$299,IF(filtro_tipo="Todos","*",filtro_tipo),Base!$E$5:$E$299,IF(filtro_renovacao="Todos","*",filtro_renovacao),Base!$D$5:$D$299,"&gt;="&amp;A26,Base!$D$5:$D$299,"&lt;"&amp;DATE(YEAR(A26),MONTH(A26)+1,1))</f>
        <v>65</v>
      </c>
      <c r="C26" s="42">
        <f>COUNTIFS(Base!$C$5:$C$299,IF(filtro_plano="Todos","*",filtro_plano),Base!$G$5:$G$299,IF(filtro_tipo="Todos","*",filtro_tipo),Base!$E$5:$E$299,IF(filtro_renovacao="Todos","*",filtro_renovacao),Base!$D$5:$D$299,"&gt;="&amp;A26,Base!$D$5:$D$299,"&lt;"&amp;DATE(YEAR(A26),MONTH(A26)+1,1))</f>
        <v>2</v>
      </c>
      <c r="E26" s="42" t="inlineStr">
        <is>
          <t>Core</t>
        </is>
      </c>
      <c r="F26" s="41">
        <f>SUMIFS(Base!$M$5:$M$299,Base!$C$5:$C$299,IF(filtro_plano="Todos","*",filtro_plano),Base!$G$5:$G$299,IF(filtro_tipo="Todos","*",filtro_tipo),Base!$E$5:$E$299,IF(filtro_renovacao="Todos","*",filtro_renovacao),Base!$C$5:$C$299,E26)</f>
        <v>444</v>
      </c>
      <c r="G26" s="42">
        <f>COUNTIFS(Base!$C$5:$C$299,IF(filtro_plano="Todos","*",filtro_plano),Base!$G$5:$G$299,IF(filtro_tipo="Todos","*",filtro_tipo),Base!$E$5:$E$299,IF(filtro_renovacao="Todos","*",filtro_renovacao),Base!$C$5:$C$299,E26)</f>
        <v>101</v>
      </c>
      <c r="I26" s="42" t="inlineStr">
        <is>
          <t>Yes</t>
        </is>
      </c>
      <c r="J26" s="41">
        <f>SUMIFS(Base!$M$5:$M$299,Base!$C$5:$C$299,IF(filtro_plano="Todos","*",filtro_plano),Base!$G$5:$G$299,IF(filtro_tipo="Todos","*",filtro_tipo),Base!$E$5:$E$299,IF(filtro_renovacao="Todos","*",filtro_renovacao),Base!$E$5:$E$299,I26)</f>
        <v>3786</v>
      </c>
      <c r="K26" s="42">
        <f>COUNTIFS(Base!$C$5:$C$299,IF(filtro_plano="Todos","*",filtro_plano),Base!$G$5:$G$299,IF(filtro_tipo="Todos","*",filtro_tipo),Base!$E$5:$E$299,IF(filtro_renovacao="Todos","*",filtro_renovacao),Base!$E$5:$E$299,I26)</f>
        <v>148</v>
      </c>
      <c r="L26" s="42" t="n"/>
    </row>
    <row r="27">
      <c r="A27" s="43" t="n">
        <v>45323</v>
      </c>
      <c r="B27" s="44">
        <f>SUMIFS(Base!$M$5:$M$299,Base!$C$5:$C$299,IF(filtro_plano="Todos","*",filtro_plano),Base!$G$5:$G$299,IF(filtro_tipo="Todos","*",filtro_tipo),Base!$E$5:$E$299,IF(filtro_renovacao="Todos","*",filtro_renovacao),Base!$D$5:$D$299,"&gt;="&amp;A27,Base!$D$5:$D$299,"&lt;"&amp;DATE(YEAR(A27),MONTH(A27)+1,1))</f>
        <v>82</v>
      </c>
      <c r="C27" s="45">
        <f>COUNTIFS(Base!$C$5:$C$299,IF(filtro_plano="Todos","*",filtro_plano),Base!$G$5:$G$299,IF(filtro_tipo="Todos","*",filtro_tipo),Base!$E$5:$E$299,IF(filtro_renovacao="Todos","*",filtro_renovacao),Base!$D$5:$D$299,"&gt;="&amp;A27,Base!$D$5:$D$299,"&lt;"&amp;DATE(YEAR(A27),MONTH(A27)+1,1))</f>
        <v>2</v>
      </c>
      <c r="E27" s="45" t="inlineStr">
        <is>
          <t>Standard</t>
        </is>
      </c>
      <c r="F27" s="44">
        <f>SUMIFS(Base!$M$5:$M$299,Base!$C$5:$C$299,IF(filtro_plano="Todos","*",filtro_plano),Base!$G$5:$G$299,IF(filtro_tipo="Todos","*",filtro_tipo),Base!$E$5:$E$299,IF(filtro_renovacao="Todos","*",filtro_renovacao),Base!$C$5:$C$299,E27)</f>
        <v>1801</v>
      </c>
      <c r="G27" s="45">
        <f>COUNTIFS(Base!$C$5:$C$299,IF(filtro_plano="Todos","*",filtro_plano),Base!$G$5:$G$299,IF(filtro_tipo="Todos","*",filtro_tipo),Base!$E$5:$E$299,IF(filtro_renovacao="Todos","*",filtro_renovacao),Base!$C$5:$C$299,E27)</f>
        <v>96</v>
      </c>
      <c r="I27" s="45" t="inlineStr">
        <is>
          <t>No</t>
        </is>
      </c>
      <c r="J27" s="44">
        <f>SUMIFS(Base!$M$5:$M$299,Base!$C$5:$C$299,IF(filtro_plano="Todos","*",filtro_plano),Base!$G$5:$G$299,IF(filtro_tipo="Todos","*",filtro_tipo),Base!$E$5:$E$299,IF(filtro_renovacao="Todos","*",filtro_renovacao),Base!$E$5:$E$299,I27)</f>
        <v>3847</v>
      </c>
      <c r="K27" s="45">
        <f>COUNTIFS(Base!$C$5:$C$299,IF(filtro_plano="Todos","*",filtro_plano),Base!$G$5:$G$299,IF(filtro_tipo="Todos","*",filtro_tipo),Base!$E$5:$E$299,IF(filtro_renovacao="Todos","*",filtro_renovacao),Base!$E$5:$E$299,I27)</f>
        <v>147</v>
      </c>
      <c r="L27" s="45" t="n"/>
    </row>
    <row r="28">
      <c r="A28" s="40" t="n">
        <v>45352</v>
      </c>
      <c r="B28" s="41">
        <f>SUMIFS(Base!$M$5:$M$299,Base!$C$5:$C$299,IF(filtro_plano="Todos","*",filtro_plano),Base!$G$5:$G$299,IF(filtro_tipo="Todos","*",filtro_tipo),Base!$E$5:$E$299,IF(filtro_renovacao="Todos","*",filtro_renovacao),Base!$D$5:$D$299,"&gt;="&amp;A28,Base!$D$5:$D$299,"&lt;"&amp;DATE(YEAR(A28),MONTH(A28)+1,1))</f>
        <v>801</v>
      </c>
      <c r="C28" s="42">
        <f>COUNTIFS(Base!$C$5:$C$299,IF(filtro_plano="Todos","*",filtro_plano),Base!$G$5:$G$299,IF(filtro_tipo="Todos","*",filtro_tipo),Base!$E$5:$E$299,IF(filtro_renovacao="Todos","*",filtro_renovacao),Base!$D$5:$D$299,"&gt;="&amp;A28,Base!$D$5:$D$299,"&lt;"&amp;DATE(YEAR(A28),MONTH(A28)+1,1))</f>
        <v>31</v>
      </c>
      <c r="E28" s="42" t="inlineStr">
        <is>
          <t>Ultimate</t>
        </is>
      </c>
      <c r="F28" s="41">
        <f>SUMIFS(Base!$M$5:$M$299,Base!$C$5:$C$299,IF(filtro_plano="Todos","*",filtro_plano),Base!$G$5:$G$299,IF(filtro_tipo="Todos","*",filtro_tipo),Base!$E$5:$E$299,IF(filtro_renovacao="Todos","*",filtro_renovacao),Base!$C$5:$C$299,E28)</f>
        <v>5388</v>
      </c>
      <c r="G28" s="42">
        <f>COUNTIFS(Base!$C$5:$C$299,IF(filtro_plano="Todos","*",filtro_plano),Base!$G$5:$G$299,IF(filtro_tipo="Todos","*",filtro_tipo),Base!$E$5:$E$299,IF(filtro_renovacao="Todos","*",filtro_renovacao),Base!$C$5:$C$299,E28)</f>
        <v>98</v>
      </c>
    </row>
    <row r="29">
      <c r="A29" s="43" t="n">
        <v>45383</v>
      </c>
      <c r="B29" s="44">
        <f>SUMIFS(Base!$M$5:$M$299,Base!$C$5:$C$299,IF(filtro_plano="Todos","*",filtro_plano),Base!$G$5:$G$299,IF(filtro_tipo="Todos","*",filtro_tipo),Base!$E$5:$E$299,IF(filtro_renovacao="Todos","*",filtro_renovacao),Base!$D$5:$D$299,"&gt;="&amp;A29,Base!$D$5:$D$299,"&lt;"&amp;DATE(YEAR(A29),MONTH(A29)+1,1))</f>
        <v>782</v>
      </c>
      <c r="C29" s="45">
        <f>COUNTIFS(Base!$C$5:$C$299,IF(filtro_plano="Todos","*",filtro_plano),Base!$G$5:$G$299,IF(filtro_tipo="Todos","*",filtro_tipo),Base!$E$5:$E$299,IF(filtro_renovacao="Todos","*",filtro_renovacao),Base!$D$5:$D$299,"&gt;="&amp;A29,Base!$D$5:$D$299,"&lt;"&amp;DATE(YEAR(A29),MONTH(A29)+1,1))</f>
        <v>30</v>
      </c>
    </row>
    <row r="30">
      <c r="A30" s="40" t="n">
        <v>45413</v>
      </c>
      <c r="B30" s="41">
        <f>SUMIFS(Base!$M$5:$M$299,Base!$C$5:$C$299,IF(filtro_plano="Todos","*",filtro_plano),Base!$G$5:$G$299,IF(filtro_tipo="Todos","*",filtro_tipo),Base!$E$5:$E$299,IF(filtro_renovacao="Todos","*",filtro_renovacao),Base!$D$5:$D$299,"&gt;="&amp;A30,Base!$D$5:$D$299,"&lt;"&amp;DATE(YEAR(A30),MONTH(A30)+1,1))</f>
        <v>777</v>
      </c>
      <c r="C30" s="42">
        <f>COUNTIFS(Base!$C$5:$C$299,IF(filtro_plano="Todos","*",filtro_plano),Base!$G$5:$G$299,IF(filtro_tipo="Todos","*",filtro_tipo),Base!$E$5:$E$299,IF(filtro_renovacao="Todos","*",filtro_renovacao),Base!$D$5:$D$299,"&gt;="&amp;A30,Base!$D$5:$D$299,"&lt;"&amp;DATE(YEAR(A30),MONTH(A30)+1,1))</f>
        <v>31</v>
      </c>
    </row>
    <row r="31">
      <c r="A31" s="43" t="n">
        <v>45444</v>
      </c>
      <c r="B31" s="44">
        <f>SUMIFS(Base!$M$5:$M$299,Base!$C$5:$C$299,IF(filtro_plano="Todos","*",filtro_plano),Base!$G$5:$G$299,IF(filtro_tipo="Todos","*",filtro_tipo),Base!$E$5:$E$299,IF(filtro_renovacao="Todos","*",filtro_renovacao),Base!$D$5:$D$299,"&gt;="&amp;A31,Base!$D$5:$D$299,"&lt;"&amp;DATE(YEAR(A31),MONTH(A31)+1,1))</f>
        <v>770</v>
      </c>
      <c r="C31" s="45">
        <f>COUNTIFS(Base!$C$5:$C$299,IF(filtro_plano="Todos","*",filtro_plano),Base!$G$5:$G$299,IF(filtro_tipo="Todos","*",filtro_tipo),Base!$E$5:$E$299,IF(filtro_renovacao="Todos","*",filtro_renovacao),Base!$D$5:$D$299,"&gt;="&amp;A31,Base!$D$5:$D$299,"&lt;"&amp;DATE(YEAR(A31),MONTH(A31)+1,1))</f>
        <v>30</v>
      </c>
    </row>
    <row r="32">
      <c r="A32" s="40" t="n">
        <v>45474</v>
      </c>
      <c r="B32" s="41">
        <f>SUMIFS(Base!$M$5:$M$299,Base!$C$5:$C$299,IF(filtro_plano="Todos","*",filtro_plano),Base!$G$5:$G$299,IF(filtro_tipo="Todos","*",filtro_tipo),Base!$E$5:$E$299,IF(filtro_renovacao="Todos","*",filtro_renovacao),Base!$D$5:$D$299,"&gt;="&amp;A32,Base!$D$5:$D$299,"&lt;"&amp;DATE(YEAR(A32),MONTH(A32)+1,1))</f>
        <v>784</v>
      </c>
      <c r="C32" s="42">
        <f>COUNTIFS(Base!$C$5:$C$299,IF(filtro_plano="Todos","*",filtro_plano),Base!$G$5:$G$299,IF(filtro_tipo="Todos","*",filtro_tipo),Base!$E$5:$E$299,IF(filtro_renovacao="Todos","*",filtro_renovacao),Base!$D$5:$D$299,"&gt;="&amp;A32,Base!$D$5:$D$299,"&lt;"&amp;DATE(YEAR(A32),MONTH(A32)+1,1))</f>
        <v>31</v>
      </c>
      <c r="E32" s="39" t="inlineStr">
        <is>
          <t>Periodicidade</t>
        </is>
      </c>
      <c r="F32" s="39" t="inlineStr">
        <is>
          <t>Receita</t>
        </is>
      </c>
      <c r="G32" s="39" t="inlineStr">
        <is>
          <t>Assinantes</t>
        </is>
      </c>
      <c r="I32" s="39" t="inlineStr">
        <is>
          <t>Plano</t>
        </is>
      </c>
      <c r="J32" s="39" t="inlineStr">
        <is>
          <t>EA Play</t>
        </is>
      </c>
      <c r="K32" s="39" t="inlineStr">
        <is>
          <t>Minecraft</t>
        </is>
      </c>
      <c r="L32" s="39" t="inlineStr">
        <is>
          <t>Receita total</t>
        </is>
      </c>
    </row>
    <row r="33">
      <c r="A33" s="43" t="n">
        <v>45505</v>
      </c>
      <c r="B33" s="44">
        <f>SUMIFS(Base!$M$5:$M$299,Base!$C$5:$C$299,IF(filtro_plano="Todos","*",filtro_plano),Base!$G$5:$G$299,IF(filtro_tipo="Todos","*",filtro_tipo),Base!$E$5:$E$299,IF(filtro_renovacao="Todos","*",filtro_renovacao),Base!$D$5:$D$299,"&gt;="&amp;A33,Base!$D$5:$D$299,"&lt;"&amp;DATE(YEAR(A33),MONTH(A33)+1,1))</f>
        <v>787</v>
      </c>
      <c r="C33" s="45">
        <f>COUNTIFS(Base!$C$5:$C$299,IF(filtro_plano="Todos","*",filtro_plano),Base!$G$5:$G$299,IF(filtro_tipo="Todos","*",filtro_tipo),Base!$E$5:$E$299,IF(filtro_renovacao="Todos","*",filtro_renovacao),Base!$D$5:$D$299,"&gt;="&amp;A33,Base!$D$5:$D$299,"&lt;"&amp;DATE(YEAR(A33),MONTH(A33)+1,1))</f>
        <v>31</v>
      </c>
      <c r="E33" s="45" t="inlineStr">
        <is>
          <t>Monthly</t>
        </is>
      </c>
      <c r="F33" s="44">
        <f>SUMIFS(Base!$M$5:$M$299,Base!$C$5:$C$299,IF(filtro_plano="Todos","*",filtro_plano),Base!$G$5:$G$299,IF(filtro_tipo="Todos","*",filtro_tipo),Base!$E$5:$E$299,IF(filtro_renovacao="Todos","*",filtro_renovacao),Base!$G$5:$G$299,E33)</f>
        <v>3571</v>
      </c>
      <c r="G33" s="45">
        <f>COUNTIFS(Base!$C$5:$C$299,IF(filtro_plano="Todos","*",filtro_plano),Base!$G$5:$G$299,IF(filtro_tipo="Todos","*",filtro_tipo),Base!$E$5:$E$299,IF(filtro_renovacao="Todos","*",filtro_renovacao),Base!$G$5:$G$299,E33)</f>
        <v>139</v>
      </c>
      <c r="I33" s="45" t="inlineStr">
        <is>
          <t>Core</t>
        </is>
      </c>
      <c r="J33" s="44">
        <f>SUMIFS(Base!$I$5:$I$299,Base!$C$5:$C$299,IF(filtro_plano="Todos","*",filtro_plano),Base!$G$5:$G$299,IF(filtro_tipo="Todos","*",filtro_tipo),Base!$E$5:$E$299,IF(filtro_renovacao="Todos","*",filtro_renovacao),Base!$C$5:$C$299,I33)</f>
        <v>0</v>
      </c>
      <c r="K33" s="44">
        <f>SUMIFS(Base!$K$5:$K$299,Base!$C$5:$C$299,IF(filtro_plano="Todos","*",filtro_plano),Base!$G$5:$G$299,IF(filtro_tipo="Todos","*",filtro_tipo),Base!$E$5:$E$299,IF(filtro_renovacao="Todos","*",filtro_renovacao),Base!$C$5:$C$299,I33)</f>
        <v>0</v>
      </c>
      <c r="L33" s="44">
        <f>SUMIFS(Base!$M$5:$M$299,Base!$C$5:$C$299,IF(filtro_plano="Todos","*",filtro_plano),Base!$G$5:$G$299,IF(filtro_tipo="Todos","*",filtro_tipo),Base!$E$5:$E$299,IF(filtro_renovacao="Todos","*",filtro_renovacao),Base!$C$5:$C$299,I33)</f>
        <v>444</v>
      </c>
    </row>
    <row r="34">
      <c r="A34" s="40" t="n">
        <v>45536</v>
      </c>
      <c r="B34" s="41">
        <f>SUMIFS(Base!$M$5:$M$299,Base!$C$5:$C$299,IF(filtro_plano="Todos","*",filtro_plano),Base!$G$5:$G$299,IF(filtro_tipo="Todos","*",filtro_tipo),Base!$E$5:$E$299,IF(filtro_renovacao="Todos","*",filtro_renovacao),Base!$D$5:$D$299,"&gt;="&amp;A34,Base!$D$5:$D$299,"&lt;"&amp;DATE(YEAR(A34),MONTH(A34)+1,1))</f>
        <v>780</v>
      </c>
      <c r="C34" s="42">
        <f>COUNTIFS(Base!$C$5:$C$299,IF(filtro_plano="Todos","*",filtro_plano),Base!$G$5:$G$299,IF(filtro_tipo="Todos","*",filtro_tipo),Base!$E$5:$E$299,IF(filtro_renovacao="Todos","*",filtro_renovacao),Base!$D$5:$D$299,"&gt;="&amp;A34,Base!$D$5:$D$299,"&lt;"&amp;DATE(YEAR(A34),MONTH(A34)+1,1))</f>
        <v>30</v>
      </c>
      <c r="E34" s="42" t="inlineStr">
        <is>
          <t>Quarterly</t>
        </is>
      </c>
      <c r="F34" s="41">
        <f>SUMIFS(Base!$M$5:$M$299,Base!$C$5:$C$299,IF(filtro_plano="Todos","*",filtro_plano),Base!$G$5:$G$299,IF(filtro_tipo="Todos","*",filtro_tipo),Base!$E$5:$E$299,IF(filtro_renovacao="Todos","*",filtro_renovacao),Base!$G$5:$G$299,E34)</f>
        <v>2308</v>
      </c>
      <c r="G34" s="42">
        <f>COUNTIFS(Base!$C$5:$C$299,IF(filtro_plano="Todos","*",filtro_plano),Base!$G$5:$G$299,IF(filtro_tipo="Todos","*",filtro_tipo),Base!$E$5:$E$299,IF(filtro_renovacao="Todos","*",filtro_renovacao),Base!$G$5:$G$299,E34)</f>
        <v>85</v>
      </c>
      <c r="I34" s="42" t="inlineStr">
        <is>
          <t>Standard</t>
        </is>
      </c>
      <c r="J34" s="41">
        <f>SUMIFS(Base!$I$5:$I$299,Base!$C$5:$C$299,IF(filtro_plano="Todos","*",filtro_plano),Base!$G$5:$G$299,IF(filtro_tipo="Todos","*",filtro_tipo),Base!$E$5:$E$299,IF(filtro_renovacao="Todos","*",filtro_renovacao),Base!$C$5:$C$299,I34)</f>
        <v>0</v>
      </c>
      <c r="K34" s="41">
        <f>SUMIFS(Base!$K$5:$K$299,Base!$C$5:$C$299,IF(filtro_plano="Todos","*",filtro_plano),Base!$G$5:$G$299,IF(filtro_tipo="Todos","*",filtro_tipo),Base!$E$5:$E$299,IF(filtro_renovacao="Todos","*",filtro_renovacao),Base!$C$5:$C$299,I34)</f>
        <v>1920</v>
      </c>
      <c r="L34" s="41">
        <f>SUMIFS(Base!$M$5:$M$299,Base!$C$5:$C$299,IF(filtro_plano="Todos","*",filtro_plano),Base!$G$5:$G$299,IF(filtro_tipo="Todos","*",filtro_tipo),Base!$E$5:$E$299,IF(filtro_renovacao="Todos","*",filtro_renovacao),Base!$C$5:$C$299,I34)</f>
        <v>1801</v>
      </c>
    </row>
    <row r="35">
      <c r="A35" s="43" t="n">
        <v>45566</v>
      </c>
      <c r="B35" s="44">
        <f>SUMIFS(Base!$M$5:$M$299,Base!$C$5:$C$299,IF(filtro_plano="Todos","*",filtro_plano),Base!$G$5:$G$299,IF(filtro_tipo="Todos","*",filtro_tipo),Base!$E$5:$E$299,IF(filtro_renovacao="Todos","*",filtro_renovacao),Base!$D$5:$D$299,"&gt;="&amp;A35,Base!$D$5:$D$299,"&lt;"&amp;DATE(YEAR(A35),MONTH(A35)+1,1))</f>
        <v>832</v>
      </c>
      <c r="C35" s="45">
        <f>COUNTIFS(Base!$C$5:$C$299,IF(filtro_plano="Todos","*",filtro_plano),Base!$G$5:$G$299,IF(filtro_tipo="Todos","*",filtro_tipo),Base!$E$5:$E$299,IF(filtro_renovacao="Todos","*",filtro_renovacao),Base!$D$5:$D$299,"&gt;="&amp;A35,Base!$D$5:$D$299,"&lt;"&amp;DATE(YEAR(A35),MONTH(A35)+1,1))</f>
        <v>31</v>
      </c>
      <c r="E35" s="45" t="inlineStr">
        <is>
          <t>Annual</t>
        </is>
      </c>
      <c r="F35" s="44">
        <f>SUMIFS(Base!$M$5:$M$299,Base!$C$5:$C$299,IF(filtro_plano="Todos","*",filtro_plano),Base!$G$5:$G$299,IF(filtro_tipo="Todos","*",filtro_tipo),Base!$E$5:$E$299,IF(filtro_renovacao="Todos","*",filtro_renovacao),Base!$G$5:$G$299,E35)</f>
        <v>1754</v>
      </c>
      <c r="G35" s="45">
        <f>COUNTIFS(Base!$C$5:$C$299,IF(filtro_plano="Todos","*",filtro_plano),Base!$G$5:$G$299,IF(filtro_tipo="Todos","*",filtro_tipo),Base!$E$5:$E$299,IF(filtro_renovacao="Todos","*",filtro_renovacao),Base!$G$5:$G$299,E35)</f>
        <v>71</v>
      </c>
      <c r="I35" s="45" t="inlineStr">
        <is>
          <t>Ultimate</t>
        </is>
      </c>
      <c r="J35" s="44">
        <f>SUMIFS(Base!$I$5:$I$299,Base!$C$5:$C$299,IF(filtro_plano="Todos","*",filtro_plano),Base!$G$5:$G$299,IF(filtro_tipo="Todos","*",filtro_tipo),Base!$E$5:$E$299,IF(filtro_renovacao="Todos","*",filtro_renovacao),Base!$C$5:$C$299,I35)</f>
        <v>2940</v>
      </c>
      <c r="K35" s="44">
        <f>SUMIFS(Base!$K$5:$K$299,Base!$C$5:$C$299,IF(filtro_plano="Todos","*",filtro_plano),Base!$G$5:$G$299,IF(filtro_tipo="Todos","*",filtro_tipo),Base!$E$5:$E$299,IF(filtro_renovacao="Todos","*",filtro_renovacao),Base!$C$5:$C$299,I35)</f>
        <v>1960</v>
      </c>
      <c r="L35" s="44">
        <f>SUMIFS(Base!$M$5:$M$299,Base!$C$5:$C$299,IF(filtro_plano="Todos","*",filtro_plano),Base!$G$5:$G$299,IF(filtro_tipo="Todos","*",filtro_tipo),Base!$E$5:$E$299,IF(filtro_renovacao="Todos","*",filtro_renovacao),Base!$C$5:$C$299,I35)</f>
        <v>5388</v>
      </c>
    </row>
    <row r="36">
      <c r="A36" s="40" t="n">
        <v>45597</v>
      </c>
      <c r="B36" s="41">
        <f>SUMIFS(Base!$M$5:$M$299,Base!$C$5:$C$299,IF(filtro_plano="Todos","*",filtro_plano),Base!$G$5:$G$299,IF(filtro_tipo="Todos","*",filtro_tipo),Base!$E$5:$E$299,IF(filtro_renovacao="Todos","*",filtro_renovacao),Base!$D$5:$D$299,"&gt;="&amp;A36,Base!$D$5:$D$299,"&lt;"&amp;DATE(YEAR(A36),MONTH(A36)+1,1))</f>
        <v>784</v>
      </c>
      <c r="C36" s="42">
        <f>COUNTIFS(Base!$C$5:$C$299,IF(filtro_plano="Todos","*",filtro_plano),Base!$G$5:$G$299,IF(filtro_tipo="Todos","*",filtro_tipo),Base!$E$5:$E$299,IF(filtro_renovacao="Todos","*",filtro_renovacao),Base!$D$5:$D$299,"&gt;="&amp;A36,Base!$D$5:$D$299,"&lt;"&amp;DATE(YEAR(A36),MONTH(A36)+1,1))</f>
        <v>30</v>
      </c>
    </row>
    <row r="37">
      <c r="A37" s="43" t="n">
        <v>45627</v>
      </c>
      <c r="B37" s="44">
        <f>SUMIFS(Base!$M$5:$M$299,Base!$C$5:$C$299,IF(filtro_plano="Todos","*",filtro_plano),Base!$G$5:$G$299,IF(filtro_tipo="Todos","*",filtro_tipo),Base!$E$5:$E$299,IF(filtro_renovacao="Todos","*",filtro_renovacao),Base!$D$5:$D$299,"&gt;="&amp;A37,Base!$D$5:$D$299,"&lt;"&amp;DATE(YEAR(A37),MONTH(A37)+1,1))</f>
        <v>389</v>
      </c>
      <c r="C37" s="45">
        <f>COUNTIFS(Base!$C$5:$C$299,IF(filtro_plano="Todos","*",filtro_plano),Base!$G$5:$G$299,IF(filtro_tipo="Todos","*",filtro_tipo),Base!$E$5:$E$299,IF(filtro_renovacao="Todos","*",filtro_renovacao),Base!$D$5:$D$299,"&gt;="&amp;A37,Base!$D$5:$D$299,"&lt;"&amp;DATE(YEAR(A37),MONTH(A37)+1,1))</f>
        <v>16</v>
      </c>
    </row>
    <row r="40">
      <c r="A40" s="11" t="inlineStr">
        <is>
          <t>Leitura recomendada: os gráficos respondem aos filtros do Dashboard. A seção de perguntas do desafio usa sempre a base completa para preservar respostas comparáveis. Dezembro contém dados somente até 16/12/2024.</t>
        </is>
      </c>
    </row>
    <row r="41"/>
    <row r="42"/>
  </sheetData>
  <mergeCells count="6">
    <mergeCell ref="A3:N3"/>
    <mergeCell ref="A4:N4"/>
    <mergeCell ref="A40:L42"/>
    <mergeCell ref="A1:I2"/>
    <mergeCell ref="J1:N1"/>
    <mergeCell ref="A16:C16"/>
  </mergeCells>
  <hyperlinks>
    <hyperlink ref="J2" ns1:id="rId1"/>
    <hyperlink ref="K2" ns1:id="rId2"/>
    <hyperlink ref="L2" ns1:id="rId3"/>
    <hyperlink ref="M2" ns1:id="rId4"/>
    <hyperlink ref="N2" ns1:id="rId5"/>
  </hyperlinks>
  <pageMargins left="0.25" right="0.25" top="0.35" bottom="0.35" header="0.5" footer="0.5"/>
  <pageSetup fitToHeight="0" fitToWidth="1"/>
  <headerFooter>
    <oddHeader/>
    <oddFooter>&amp;C&amp;8 &amp;K64748BXbox Sales Pulse • 0Barone (@gabrielnasciimentoleandro-arch)</oddFooter>
    <evenHeader/>
    <evenFooter/>
    <firstHeader/>
    <firstFooter/>
  </headerFooter>
</worksheet>
</file>

<file path=xl/worksheets/sheet3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P299"/>
  <sheetViews>
    <sheetView showGridLines="0" zoomScale="7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5" customWidth="1" min="4" max="4"/>
    <col width="16" customWidth="1" min="5" max="5"/>
    <col width="18" customWidth="1" min="6" max="6"/>
    <col width="18" customWidth="1" min="7" max="7"/>
    <col width="18" customWidth="1" min="8" max="8"/>
    <col width="20" customWidth="1" min="9" max="9"/>
    <col width="21" customWidth="1" min="10" max="10"/>
    <col width="23" customWidth="1" min="11" max="11"/>
    <col width="15" customWidth="1" min="12" max="12"/>
    <col width="15" customWidth="1" min="13" max="13"/>
    <col width="18" customWidth="1" min="14" max="14"/>
    <col width="14" customWidth="1" min="15" max="15"/>
    <col width="14" customWidth="1" min="16" max="16"/>
  </cols>
  <sheetData>
    <row r="1" ht="24" customHeight="1">
      <c r="A1" s="1" t="inlineStr">
        <is>
          <t>BASE DE ASSINATURAS</t>
        </is>
      </c>
      <c r="J1" s="2" t="inlineStr">
        <is>
          <t>PROJETO AUTORAL • DIO</t>
        </is>
      </c>
    </row>
    <row r="2" ht="24" customHeight="1">
      <c r="J2" s="4" t="inlineStr">
        <is>
          <t>DASHBOARD</t>
        </is>
      </c>
      <c r="K2" s="4" t="inlineStr">
        <is>
          <t>ANÁLISE</t>
        </is>
      </c>
      <c r="L2" s="3" t="inlineStr">
        <is>
          <t>BASE</t>
        </is>
      </c>
      <c r="M2" s="4" t="inlineStr">
        <is>
          <t>DICIONÁRIO</t>
        </is>
      </c>
      <c r="N2" s="4" t="inlineStr">
        <is>
          <t>GUIA</t>
        </is>
      </c>
    </row>
    <row r="3" ht="24" customHeight="1">
      <c r="A3" s="5" t="inlineStr">
        <is>
          <t>Cópia normalizada da base didática: o hífen de EA Play Price foi convertido em zero para permitir cálculos.</t>
        </is>
      </c>
    </row>
    <row r="4" ht="40" customHeight="1">
      <c r="A4" s="26" t="inlineStr">
        <is>
          <t>Subscriber ID</t>
        </is>
      </c>
      <c r="B4" s="26" t="inlineStr">
        <is>
          <t>Name</t>
        </is>
      </c>
      <c r="C4" s="26" t="inlineStr">
        <is>
          <t>Plan</t>
        </is>
      </c>
      <c r="D4" s="26" t="inlineStr">
        <is>
          <t>Start Date</t>
        </is>
      </c>
      <c r="E4" s="26" t="inlineStr">
        <is>
          <t>Auto Renewal</t>
        </is>
      </c>
      <c r="F4" s="26" t="inlineStr">
        <is>
          <t>Subscription Price</t>
        </is>
      </c>
      <c r="G4" s="26" t="inlineStr">
        <is>
          <t>Subscription Type</t>
        </is>
      </c>
      <c r="H4" s="26" t="inlineStr">
        <is>
          <t>EA Play Season Pass</t>
        </is>
      </c>
      <c r="I4" s="26" t="inlineStr">
        <is>
          <t>EA Play Season Pass Price</t>
        </is>
      </c>
      <c r="J4" s="26" t="inlineStr">
        <is>
          <t>Minecraft Season Pass</t>
        </is>
      </c>
      <c r="K4" s="26" t="inlineStr">
        <is>
          <t>Minecraft Season Pass Price</t>
        </is>
      </c>
      <c r="L4" s="26" t="inlineStr">
        <is>
          <t>Coupon Value</t>
        </is>
      </c>
      <c r="M4" s="26" t="inlineStr">
        <is>
          <t>Total Value</t>
        </is>
      </c>
      <c r="N4" s="26" t="inlineStr">
        <is>
          <t>Calculated Value</t>
        </is>
      </c>
      <c r="O4" s="26" t="inlineStr">
        <is>
          <t>Validation</t>
        </is>
      </c>
      <c r="P4" s="26" t="inlineStr">
        <is>
          <t>Month</t>
        </is>
      </c>
    </row>
    <row r="5" ht="19" customHeight="1">
      <c r="A5" s="46" t="n">
        <v>3231</v>
      </c>
      <c r="B5" s="46" t="inlineStr">
        <is>
          <t>João Silva</t>
        </is>
      </c>
      <c r="C5" s="46" t="inlineStr">
        <is>
          <t>Ultimate</t>
        </is>
      </c>
      <c r="D5" s="47" t="n">
        <v>45292</v>
      </c>
      <c r="E5" s="46" t="inlineStr">
        <is>
          <t>Yes</t>
        </is>
      </c>
      <c r="F5" s="48" t="n">
        <v>15</v>
      </c>
      <c r="G5" s="46" t="inlineStr">
        <is>
          <t>Monthly</t>
        </is>
      </c>
      <c r="H5" s="46" t="inlineStr">
        <is>
          <t>Yes</t>
        </is>
      </c>
      <c r="I5" s="48" t="n">
        <v>30</v>
      </c>
      <c r="J5" s="46" t="inlineStr">
        <is>
          <t>Yes</t>
        </is>
      </c>
      <c r="K5" s="48" t="n">
        <v>20</v>
      </c>
      <c r="L5" s="48" t="n">
        <v>5</v>
      </c>
      <c r="M5" s="48" t="n">
        <v>60</v>
      </c>
      <c r="N5" s="48">
        <f>F5+I5+K5-L5</f>
        <v>60</v>
      </c>
      <c r="O5" s="46" t="str">
        <f>IF(ABS(M5-N5)&lt;0.001,"OK","REVIEW")</f>
        <v>OK</v>
      </c>
      <c r="P5" s="49">
        <f>DATE(YEAR(D5),MONTH(D5),1)</f>
        <v>45292</v>
      </c>
    </row>
    <row r="6" ht="19" customHeight="1">
      <c r="A6" s="50" t="n">
        <v>3232</v>
      </c>
      <c r="B6" s="50" t="inlineStr">
        <is>
          <t>Maria Oliveira</t>
        </is>
      </c>
      <c r="C6" s="50" t="inlineStr">
        <is>
          <t>Core</t>
        </is>
      </c>
      <c r="D6" s="51" t="n">
        <v>45306</v>
      </c>
      <c r="E6" s="50" t="inlineStr">
        <is>
          <t>No</t>
        </is>
      </c>
      <c r="F6" s="52" t="n">
        <v>5</v>
      </c>
      <c r="G6" s="50" t="inlineStr">
        <is>
          <t>Annual</t>
        </is>
      </c>
      <c r="H6" s="50" t="inlineStr">
        <is>
          <t>No</t>
        </is>
      </c>
      <c r="I6" s="52" t="n">
        <v>0</v>
      </c>
      <c r="J6" s="50" t="inlineStr">
        <is>
          <t>No</t>
        </is>
      </c>
      <c r="K6" s="52" t="n">
        <v>0</v>
      </c>
      <c r="L6" s="52" t="n">
        <v>0</v>
      </c>
      <c r="M6" s="52" t="n">
        <v>5</v>
      </c>
      <c r="N6" s="52">
        <f>F6+I6+K6-L6</f>
        <v>5</v>
      </c>
      <c r="O6" s="50" t="str">
        <f>IF(ABS(M6-N6)&lt;0.001,"OK","REVIEW")</f>
        <v>OK</v>
      </c>
      <c r="P6" s="53">
        <f>DATE(YEAR(D6),MONTH(D6),1)</f>
        <v>45292</v>
      </c>
    </row>
    <row r="7" ht="19" customHeight="1">
      <c r="A7" s="46" t="n">
        <v>3233</v>
      </c>
      <c r="B7" s="46" t="inlineStr">
        <is>
          <t>Lucas Fernandes</t>
        </is>
      </c>
      <c r="C7" s="46" t="inlineStr">
        <is>
          <t>Standard</t>
        </is>
      </c>
      <c r="D7" s="47" t="n">
        <v>45332</v>
      </c>
      <c r="E7" s="46" t="inlineStr">
        <is>
          <t>Yes</t>
        </is>
      </c>
      <c r="F7" s="48" t="n">
        <v>10</v>
      </c>
      <c r="G7" s="46" t="inlineStr">
        <is>
          <t>Quarterly</t>
        </is>
      </c>
      <c r="H7" s="46" t="inlineStr">
        <is>
          <t>No</t>
        </is>
      </c>
      <c r="I7" s="48" t="n">
        <v>0</v>
      </c>
      <c r="J7" s="46" t="inlineStr">
        <is>
          <t>Yes</t>
        </is>
      </c>
      <c r="K7" s="48" t="n">
        <v>20</v>
      </c>
      <c r="L7" s="48" t="n">
        <v>10</v>
      </c>
      <c r="M7" s="48" t="n">
        <v>20</v>
      </c>
      <c r="N7" s="48">
        <f>F7+I7+K7-L7</f>
        <v>20</v>
      </c>
      <c r="O7" s="46" t="str">
        <f>IF(ABS(M7-N7)&lt;0.001,"OK","REVIEW")</f>
        <v>OK</v>
      </c>
      <c r="P7" s="49">
        <f>DATE(YEAR(D7),MONTH(D7),1)</f>
        <v>45323</v>
      </c>
    </row>
    <row r="8" ht="19" customHeight="1">
      <c r="A8" s="50" t="n">
        <v>3234</v>
      </c>
      <c r="B8" s="50" t="inlineStr">
        <is>
          <t>Ana Souza</t>
        </is>
      </c>
      <c r="C8" s="50" t="inlineStr">
        <is>
          <t>Ultimate</t>
        </is>
      </c>
      <c r="D8" s="51" t="n">
        <v>45342</v>
      </c>
      <c r="E8" s="50" t="inlineStr">
        <is>
          <t>No</t>
        </is>
      </c>
      <c r="F8" s="52" t="n">
        <v>15</v>
      </c>
      <c r="G8" s="50" t="inlineStr">
        <is>
          <t>Monthly</t>
        </is>
      </c>
      <c r="H8" s="50" t="inlineStr">
        <is>
          <t>Yes</t>
        </is>
      </c>
      <c r="I8" s="52" t="n">
        <v>30</v>
      </c>
      <c r="J8" s="50" t="inlineStr">
        <is>
          <t>Yes</t>
        </is>
      </c>
      <c r="K8" s="52" t="n">
        <v>20</v>
      </c>
      <c r="L8" s="52" t="n">
        <v>3</v>
      </c>
      <c r="M8" s="52" t="n">
        <v>62</v>
      </c>
      <c r="N8" s="52">
        <f>F8+I8+K8-L8</f>
        <v>62</v>
      </c>
      <c r="O8" s="50" t="str">
        <f>IF(ABS(M8-N8)&lt;0.001,"OK","REVIEW")</f>
        <v>OK</v>
      </c>
      <c r="P8" s="53">
        <f>DATE(YEAR(D8),MONTH(D8),1)</f>
        <v>45323</v>
      </c>
    </row>
    <row r="9" ht="19" customHeight="1">
      <c r="A9" s="46" t="n">
        <v>3235</v>
      </c>
      <c r="B9" s="46" t="inlineStr">
        <is>
          <t>Pedro Gonçalves</t>
        </is>
      </c>
      <c r="C9" s="46" t="inlineStr">
        <is>
          <t>Core</t>
        </is>
      </c>
      <c r="D9" s="47" t="n">
        <v>45356</v>
      </c>
      <c r="E9" s="46" t="inlineStr">
        <is>
          <t>Yes</t>
        </is>
      </c>
      <c r="F9" s="48" t="n">
        <v>5</v>
      </c>
      <c r="G9" s="46" t="inlineStr">
        <is>
          <t>Monthly</t>
        </is>
      </c>
      <c r="H9" s="46" t="inlineStr">
        <is>
          <t>No</t>
        </is>
      </c>
      <c r="I9" s="48" t="n">
        <v>0</v>
      </c>
      <c r="J9" s="46" t="inlineStr">
        <is>
          <t>No</t>
        </is>
      </c>
      <c r="K9" s="48" t="n">
        <v>0</v>
      </c>
      <c r="L9" s="48" t="n">
        <v>1</v>
      </c>
      <c r="M9" s="48" t="n">
        <v>4</v>
      </c>
      <c r="N9" s="48">
        <f>F9+I9+K9-L9</f>
        <v>4</v>
      </c>
      <c r="O9" s="46" t="str">
        <f>IF(ABS(M9-N9)&lt;0.001,"OK","REVIEW")</f>
        <v>OK</v>
      </c>
      <c r="P9" s="49">
        <f>DATE(YEAR(D9),MONTH(D9),1)</f>
        <v>45352</v>
      </c>
    </row>
    <row r="10" ht="19" customHeight="1">
      <c r="A10" s="50" t="n">
        <v>3236</v>
      </c>
      <c r="B10" s="50" t="inlineStr">
        <is>
          <t>Felipe Costa</t>
        </is>
      </c>
      <c r="C10" s="50" t="inlineStr">
        <is>
          <t>Standard</t>
        </is>
      </c>
      <c r="D10" s="51" t="n">
        <v>45353</v>
      </c>
      <c r="E10" s="50" t="inlineStr">
        <is>
          <t>No</t>
        </is>
      </c>
      <c r="F10" s="52" t="n">
        <v>10</v>
      </c>
      <c r="G10" s="50" t="inlineStr">
        <is>
          <t>Monthly</t>
        </is>
      </c>
      <c r="H10" s="50" t="inlineStr">
        <is>
          <t>No</t>
        </is>
      </c>
      <c r="I10" s="52" t="n">
        <v>0</v>
      </c>
      <c r="J10" s="50" t="inlineStr">
        <is>
          <t>Yes</t>
        </is>
      </c>
      <c r="K10" s="52" t="n">
        <v>20</v>
      </c>
      <c r="L10" s="52" t="n">
        <v>2</v>
      </c>
      <c r="M10" s="52" t="n">
        <v>28</v>
      </c>
      <c r="N10" s="52">
        <f>F10+I10+K10-L10</f>
        <v>28</v>
      </c>
      <c r="O10" s="50" t="str">
        <f>IF(ABS(M10-N10)&lt;0.001,"OK","REVIEW")</f>
        <v>OK</v>
      </c>
      <c r="P10" s="53">
        <f>DATE(YEAR(D10),MONTH(D10),1)</f>
        <v>45352</v>
      </c>
    </row>
    <row r="11" ht="19" customHeight="1">
      <c r="A11" s="46" t="n">
        <v>3237</v>
      </c>
      <c r="B11" s="46" t="inlineStr">
        <is>
          <t>Camila Ribeiro</t>
        </is>
      </c>
      <c r="C11" s="46" t="inlineStr">
        <is>
          <t>Ultimate</t>
        </is>
      </c>
      <c r="D11" s="47" t="n">
        <v>45354</v>
      </c>
      <c r="E11" s="46" t="inlineStr">
        <is>
          <t>Yes</t>
        </is>
      </c>
      <c r="F11" s="48" t="n">
        <v>15</v>
      </c>
      <c r="G11" s="46" t="inlineStr">
        <is>
          <t>Quarterly</t>
        </is>
      </c>
      <c r="H11" s="46" t="inlineStr">
        <is>
          <t>Yes</t>
        </is>
      </c>
      <c r="I11" s="48" t="n">
        <v>30</v>
      </c>
      <c r="J11" s="46" t="inlineStr">
        <is>
          <t>Yes</t>
        </is>
      </c>
      <c r="K11" s="48" t="n">
        <v>20</v>
      </c>
      <c r="L11" s="48" t="n">
        <v>10</v>
      </c>
      <c r="M11" s="48" t="n">
        <v>55</v>
      </c>
      <c r="N11" s="48">
        <f>F11+I11+K11-L11</f>
        <v>55</v>
      </c>
      <c r="O11" s="46" t="str">
        <f>IF(ABS(M11-N11)&lt;0.001,"OK","REVIEW")</f>
        <v>OK</v>
      </c>
      <c r="P11" s="49">
        <f>DATE(YEAR(D11),MONTH(D11),1)</f>
        <v>45352</v>
      </c>
    </row>
    <row r="12" ht="19" customHeight="1">
      <c r="A12" s="50" t="n">
        <v>3238</v>
      </c>
      <c r="B12" s="50" t="inlineStr">
        <is>
          <t>André Mendes</t>
        </is>
      </c>
      <c r="C12" s="50" t="inlineStr">
        <is>
          <t>Core</t>
        </is>
      </c>
      <c r="D12" s="51" t="n">
        <v>45355</v>
      </c>
      <c r="E12" s="50" t="inlineStr">
        <is>
          <t>Yes</t>
        </is>
      </c>
      <c r="F12" s="52" t="n">
        <v>5</v>
      </c>
      <c r="G12" s="50" t="inlineStr">
        <is>
          <t>Annual</t>
        </is>
      </c>
      <c r="H12" s="50" t="inlineStr">
        <is>
          <t>No</t>
        </is>
      </c>
      <c r="I12" s="52" t="n">
        <v>0</v>
      </c>
      <c r="J12" s="50" t="inlineStr">
        <is>
          <t>No</t>
        </is>
      </c>
      <c r="K12" s="52" t="n">
        <v>0</v>
      </c>
      <c r="L12" s="52" t="n">
        <v>0</v>
      </c>
      <c r="M12" s="52" t="n">
        <v>5</v>
      </c>
      <c r="N12" s="52">
        <f>F12+I12+K12-L12</f>
        <v>5</v>
      </c>
      <c r="O12" s="50" t="str">
        <f>IF(ABS(M12-N12)&lt;0.001,"OK","REVIEW")</f>
        <v>OK</v>
      </c>
      <c r="P12" s="53">
        <f>DATE(YEAR(D12),MONTH(D12),1)</f>
        <v>45352</v>
      </c>
    </row>
    <row r="13" ht="19" customHeight="1">
      <c r="A13" s="46" t="n">
        <v>3239</v>
      </c>
      <c r="B13" s="46" t="inlineStr">
        <is>
          <t>Sofia Almeida</t>
        </is>
      </c>
      <c r="C13" s="46" t="inlineStr">
        <is>
          <t>Ultimate</t>
        </is>
      </c>
      <c r="D13" s="47" t="n">
        <v>45356</v>
      </c>
      <c r="E13" s="46" t="inlineStr">
        <is>
          <t>No</t>
        </is>
      </c>
      <c r="F13" s="48" t="n">
        <v>15</v>
      </c>
      <c r="G13" s="46" t="inlineStr">
        <is>
          <t>Monthly</t>
        </is>
      </c>
      <c r="H13" s="46" t="inlineStr">
        <is>
          <t>Yes</t>
        </is>
      </c>
      <c r="I13" s="48" t="n">
        <v>30</v>
      </c>
      <c r="J13" s="46" t="inlineStr">
        <is>
          <t>Yes</t>
        </is>
      </c>
      <c r="K13" s="48" t="n">
        <v>20</v>
      </c>
      <c r="L13" s="48" t="n">
        <v>5</v>
      </c>
      <c r="M13" s="48" t="n">
        <v>60</v>
      </c>
      <c r="N13" s="48">
        <f>F13+I13+K13-L13</f>
        <v>60</v>
      </c>
      <c r="O13" s="46" t="str">
        <f>IF(ABS(M13-N13)&lt;0.001,"OK","REVIEW")</f>
        <v>OK</v>
      </c>
      <c r="P13" s="49">
        <f>DATE(YEAR(D13),MONTH(D13),1)</f>
        <v>45352</v>
      </c>
    </row>
    <row r="14" ht="19" customHeight="1">
      <c r="A14" s="50" t="n">
        <v>3240</v>
      </c>
      <c r="B14" s="50" t="inlineStr">
        <is>
          <t>Bruno Martins</t>
        </is>
      </c>
      <c r="C14" s="50" t="inlineStr">
        <is>
          <t>Standard</t>
        </is>
      </c>
      <c r="D14" s="51" t="n">
        <v>45357</v>
      </c>
      <c r="E14" s="50" t="inlineStr">
        <is>
          <t>Yes</t>
        </is>
      </c>
      <c r="F14" s="52" t="n">
        <v>10</v>
      </c>
      <c r="G14" s="50" t="inlineStr">
        <is>
          <t>Quarterly</t>
        </is>
      </c>
      <c r="H14" s="50" t="inlineStr">
        <is>
          <t>No</t>
        </is>
      </c>
      <c r="I14" s="52" t="n">
        <v>0</v>
      </c>
      <c r="J14" s="50" t="inlineStr">
        <is>
          <t>Yes</t>
        </is>
      </c>
      <c r="K14" s="52" t="n">
        <v>20</v>
      </c>
      <c r="L14" s="52" t="n">
        <v>15</v>
      </c>
      <c r="M14" s="52" t="n">
        <v>15</v>
      </c>
      <c r="N14" s="52">
        <f>F14+I14+K14-L14</f>
        <v>15</v>
      </c>
      <c r="O14" s="50" t="str">
        <f>IF(ABS(M14-N14)&lt;0.001,"OK","REVIEW")</f>
        <v>OK</v>
      </c>
      <c r="P14" s="53">
        <f>DATE(YEAR(D14),MONTH(D14),1)</f>
        <v>45352</v>
      </c>
    </row>
    <row r="15" ht="19" customHeight="1">
      <c r="A15" s="46" t="n">
        <v>3241</v>
      </c>
      <c r="B15" s="46" t="inlineStr">
        <is>
          <t>Rita Castro</t>
        </is>
      </c>
      <c r="C15" s="46" t="inlineStr">
        <is>
          <t>Core</t>
        </is>
      </c>
      <c r="D15" s="47" t="n">
        <v>45358</v>
      </c>
      <c r="E15" s="46" t="inlineStr">
        <is>
          <t>No</t>
        </is>
      </c>
      <c r="F15" s="48" t="n">
        <v>5</v>
      </c>
      <c r="G15" s="46" t="inlineStr">
        <is>
          <t>Monthly</t>
        </is>
      </c>
      <c r="H15" s="46" t="inlineStr">
        <is>
          <t>No</t>
        </is>
      </c>
      <c r="I15" s="48" t="n">
        <v>0</v>
      </c>
      <c r="J15" s="46" t="inlineStr">
        <is>
          <t>No</t>
        </is>
      </c>
      <c r="K15" s="48" t="n">
        <v>0</v>
      </c>
      <c r="L15" s="48" t="n">
        <v>1</v>
      </c>
      <c r="M15" s="48" t="n">
        <v>4</v>
      </c>
      <c r="N15" s="48">
        <f>F15+I15+K15-L15</f>
        <v>4</v>
      </c>
      <c r="O15" s="46" t="str">
        <f>IF(ABS(M15-N15)&lt;0.001,"OK","REVIEW")</f>
        <v>OK</v>
      </c>
      <c r="P15" s="49">
        <f>DATE(YEAR(D15),MONTH(D15),1)</f>
        <v>45352</v>
      </c>
    </row>
    <row r="16" ht="19" customHeight="1">
      <c r="A16" s="50" t="n">
        <v>3242</v>
      </c>
      <c r="B16" s="50" t="inlineStr">
        <is>
          <t>Marco Túlio</t>
        </is>
      </c>
      <c r="C16" s="50" t="inlineStr">
        <is>
          <t>Ultimate</t>
        </is>
      </c>
      <c r="D16" s="51" t="n">
        <v>45359</v>
      </c>
      <c r="E16" s="50" t="inlineStr">
        <is>
          <t>Yes</t>
        </is>
      </c>
      <c r="F16" s="52" t="n">
        <v>15</v>
      </c>
      <c r="G16" s="50" t="inlineStr">
        <is>
          <t>Annual</t>
        </is>
      </c>
      <c r="H16" s="50" t="inlineStr">
        <is>
          <t>Yes</t>
        </is>
      </c>
      <c r="I16" s="52" t="n">
        <v>30</v>
      </c>
      <c r="J16" s="50" t="inlineStr">
        <is>
          <t>Yes</t>
        </is>
      </c>
      <c r="K16" s="52" t="n">
        <v>20</v>
      </c>
      <c r="L16" s="52" t="n">
        <v>20</v>
      </c>
      <c r="M16" s="52" t="n">
        <v>45</v>
      </c>
      <c r="N16" s="52">
        <f>F16+I16+K16-L16</f>
        <v>45</v>
      </c>
      <c r="O16" s="50" t="str">
        <f>IF(ABS(M16-N16)&lt;0.001,"OK","REVIEW")</f>
        <v>OK</v>
      </c>
      <c r="P16" s="53">
        <f>DATE(YEAR(D16),MONTH(D16),1)</f>
        <v>45352</v>
      </c>
    </row>
    <row r="17" ht="19" customHeight="1">
      <c r="A17" s="46" t="n">
        <v>3243</v>
      </c>
      <c r="B17" s="46" t="inlineStr">
        <is>
          <t>Lívia Silveira</t>
        </is>
      </c>
      <c r="C17" s="46" t="inlineStr">
        <is>
          <t>Standard</t>
        </is>
      </c>
      <c r="D17" s="47" t="n">
        <v>45360</v>
      </c>
      <c r="E17" s="46" t="inlineStr">
        <is>
          <t>No</t>
        </is>
      </c>
      <c r="F17" s="48" t="n">
        <v>10</v>
      </c>
      <c r="G17" s="46" t="inlineStr">
        <is>
          <t>Monthly</t>
        </is>
      </c>
      <c r="H17" s="46" t="inlineStr">
        <is>
          <t>No</t>
        </is>
      </c>
      <c r="I17" s="48" t="n">
        <v>0</v>
      </c>
      <c r="J17" s="46" t="inlineStr">
        <is>
          <t>Yes</t>
        </is>
      </c>
      <c r="K17" s="48" t="n">
        <v>20</v>
      </c>
      <c r="L17" s="48" t="n">
        <v>10</v>
      </c>
      <c r="M17" s="48" t="n">
        <v>20</v>
      </c>
      <c r="N17" s="48">
        <f>F17+I17+K17-L17</f>
        <v>20</v>
      </c>
      <c r="O17" s="46" t="str">
        <f>IF(ABS(M17-N17)&lt;0.001,"OK","REVIEW")</f>
        <v>OK</v>
      </c>
      <c r="P17" s="49">
        <f>DATE(YEAR(D17),MONTH(D17),1)</f>
        <v>45352</v>
      </c>
    </row>
    <row r="18" ht="19" customHeight="1">
      <c r="A18" s="50" t="n">
        <v>3244</v>
      </c>
      <c r="B18" s="50" t="inlineStr">
        <is>
          <t>Diogo Sousa</t>
        </is>
      </c>
      <c r="C18" s="50" t="inlineStr">
        <is>
          <t>Core</t>
        </is>
      </c>
      <c r="D18" s="51" t="n">
        <v>45361</v>
      </c>
      <c r="E18" s="50" t="inlineStr">
        <is>
          <t>Yes</t>
        </is>
      </c>
      <c r="F18" s="52" t="n">
        <v>5</v>
      </c>
      <c r="G18" s="50" t="inlineStr">
        <is>
          <t>Quarterly</t>
        </is>
      </c>
      <c r="H18" s="50" t="inlineStr">
        <is>
          <t>No</t>
        </is>
      </c>
      <c r="I18" s="52" t="n">
        <v>0</v>
      </c>
      <c r="J18" s="50" t="inlineStr">
        <is>
          <t>No</t>
        </is>
      </c>
      <c r="K18" s="52" t="n">
        <v>0</v>
      </c>
      <c r="L18" s="52" t="n">
        <v>0</v>
      </c>
      <c r="M18" s="52" t="n">
        <v>5</v>
      </c>
      <c r="N18" s="52">
        <f>F18+I18+K18-L18</f>
        <v>5</v>
      </c>
      <c r="O18" s="50" t="str">
        <f>IF(ABS(M18-N18)&lt;0.001,"OK","REVIEW")</f>
        <v>OK</v>
      </c>
      <c r="P18" s="53">
        <f>DATE(YEAR(D18),MONTH(D18),1)</f>
        <v>45352</v>
      </c>
    </row>
    <row r="19" ht="19" customHeight="1">
      <c r="A19" s="46" t="n">
        <v>3245</v>
      </c>
      <c r="B19" s="46" t="inlineStr">
        <is>
          <t>Fernanda Lima</t>
        </is>
      </c>
      <c r="C19" s="46" t="inlineStr">
        <is>
          <t>Ultimate</t>
        </is>
      </c>
      <c r="D19" s="47" t="n">
        <v>45362</v>
      </c>
      <c r="E19" s="46" t="inlineStr">
        <is>
          <t>No</t>
        </is>
      </c>
      <c r="F19" s="48" t="n">
        <v>15</v>
      </c>
      <c r="G19" s="46" t="inlineStr">
        <is>
          <t>Monthly</t>
        </is>
      </c>
      <c r="H19" s="46" t="inlineStr">
        <is>
          <t>Yes</t>
        </is>
      </c>
      <c r="I19" s="48" t="n">
        <v>30</v>
      </c>
      <c r="J19" s="46" t="inlineStr">
        <is>
          <t>Yes</t>
        </is>
      </c>
      <c r="K19" s="48" t="n">
        <v>20</v>
      </c>
      <c r="L19" s="48" t="n">
        <v>8</v>
      </c>
      <c r="M19" s="48" t="n">
        <v>57</v>
      </c>
      <c r="N19" s="48">
        <f>F19+I19+K19-L19</f>
        <v>57</v>
      </c>
      <c r="O19" s="46" t="str">
        <f>IF(ABS(M19-N19)&lt;0.001,"OK","REVIEW")</f>
        <v>OK</v>
      </c>
      <c r="P19" s="49">
        <f>DATE(YEAR(D19),MONTH(D19),1)</f>
        <v>45352</v>
      </c>
    </row>
    <row r="20" ht="19" customHeight="1">
      <c r="A20" s="50" t="n">
        <v>3246</v>
      </c>
      <c r="B20" s="50" t="inlineStr">
        <is>
          <t>Caio Pereira</t>
        </is>
      </c>
      <c r="C20" s="50" t="inlineStr">
        <is>
          <t>Standard</t>
        </is>
      </c>
      <c r="D20" s="51" t="n">
        <v>45363</v>
      </c>
      <c r="E20" s="50" t="inlineStr">
        <is>
          <t>Yes</t>
        </is>
      </c>
      <c r="F20" s="52" t="n">
        <v>10</v>
      </c>
      <c r="G20" s="50" t="inlineStr">
        <is>
          <t>Annual</t>
        </is>
      </c>
      <c r="H20" s="50" t="inlineStr">
        <is>
          <t>No</t>
        </is>
      </c>
      <c r="I20" s="52" t="n">
        <v>0</v>
      </c>
      <c r="J20" s="50" t="inlineStr">
        <is>
          <t>Yes</t>
        </is>
      </c>
      <c r="K20" s="52" t="n">
        <v>20</v>
      </c>
      <c r="L20" s="52" t="n">
        <v>12</v>
      </c>
      <c r="M20" s="52" t="n">
        <v>18</v>
      </c>
      <c r="N20" s="52">
        <f>F20+I20+K20-L20</f>
        <v>18</v>
      </c>
      <c r="O20" s="50" t="str">
        <f>IF(ABS(M20-N20)&lt;0.001,"OK","REVIEW")</f>
        <v>OK</v>
      </c>
      <c r="P20" s="53">
        <f>DATE(YEAR(D20),MONTH(D20),1)</f>
        <v>45352</v>
      </c>
    </row>
    <row r="21" ht="19" customHeight="1">
      <c r="A21" s="46" t="n">
        <v>3247</v>
      </c>
      <c r="B21" s="46" t="inlineStr">
        <is>
          <t>Beatriz Gomes</t>
        </is>
      </c>
      <c r="C21" s="46" t="inlineStr">
        <is>
          <t>Core</t>
        </is>
      </c>
      <c r="D21" s="47" t="n">
        <v>45364</v>
      </c>
      <c r="E21" s="46" t="inlineStr">
        <is>
          <t>No</t>
        </is>
      </c>
      <c r="F21" s="48" t="n">
        <v>5</v>
      </c>
      <c r="G21" s="46" t="inlineStr">
        <is>
          <t>Monthly</t>
        </is>
      </c>
      <c r="H21" s="46" t="inlineStr">
        <is>
          <t>No</t>
        </is>
      </c>
      <c r="I21" s="48" t="n">
        <v>0</v>
      </c>
      <c r="J21" s="46" t="inlineStr">
        <is>
          <t>No</t>
        </is>
      </c>
      <c r="K21" s="48" t="n">
        <v>0</v>
      </c>
      <c r="L21" s="48" t="n">
        <v>2</v>
      </c>
      <c r="M21" s="48" t="n">
        <v>3</v>
      </c>
      <c r="N21" s="48">
        <f>F21+I21+K21-L21</f>
        <v>3</v>
      </c>
      <c r="O21" s="46" t="str">
        <f>IF(ABS(M21-N21)&lt;0.001,"OK","REVIEW")</f>
        <v>OK</v>
      </c>
      <c r="P21" s="49">
        <f>DATE(YEAR(D21),MONTH(D21),1)</f>
        <v>45352</v>
      </c>
    </row>
    <row r="22" ht="19" customHeight="1">
      <c r="A22" s="50" t="n">
        <v>3248</v>
      </c>
      <c r="B22" s="50" t="inlineStr">
        <is>
          <t>Cesar Oliveira</t>
        </is>
      </c>
      <c r="C22" s="50" t="inlineStr">
        <is>
          <t>Ultimate</t>
        </is>
      </c>
      <c r="D22" s="51" t="n">
        <v>45365</v>
      </c>
      <c r="E22" s="50" t="inlineStr">
        <is>
          <t>Yes</t>
        </is>
      </c>
      <c r="F22" s="52" t="n">
        <v>15</v>
      </c>
      <c r="G22" s="50" t="inlineStr">
        <is>
          <t>Quarterly</t>
        </is>
      </c>
      <c r="H22" s="50" t="inlineStr">
        <is>
          <t>Yes</t>
        </is>
      </c>
      <c r="I22" s="52" t="n">
        <v>30</v>
      </c>
      <c r="J22" s="50" t="inlineStr">
        <is>
          <t>Yes</t>
        </is>
      </c>
      <c r="K22" s="52" t="n">
        <v>20</v>
      </c>
      <c r="L22" s="52" t="n">
        <v>7</v>
      </c>
      <c r="M22" s="52" t="n">
        <v>58</v>
      </c>
      <c r="N22" s="52">
        <f>F22+I22+K22-L22</f>
        <v>58</v>
      </c>
      <c r="O22" s="50" t="str">
        <f>IF(ABS(M22-N22)&lt;0.001,"OK","REVIEW")</f>
        <v>OK</v>
      </c>
      <c r="P22" s="53">
        <f>DATE(YEAR(D22),MONTH(D22),1)</f>
        <v>45352</v>
      </c>
    </row>
    <row r="23" ht="19" customHeight="1">
      <c r="A23" s="46" t="n">
        <v>3249</v>
      </c>
      <c r="B23" s="46" t="inlineStr">
        <is>
          <t>Débora Machado</t>
        </is>
      </c>
      <c r="C23" s="46" t="inlineStr">
        <is>
          <t>Standard</t>
        </is>
      </c>
      <c r="D23" s="47" t="n">
        <v>45366</v>
      </c>
      <c r="E23" s="46" t="inlineStr">
        <is>
          <t>No</t>
        </is>
      </c>
      <c r="F23" s="48" t="n">
        <v>10</v>
      </c>
      <c r="G23" s="46" t="inlineStr">
        <is>
          <t>Monthly</t>
        </is>
      </c>
      <c r="H23" s="46" t="inlineStr">
        <is>
          <t>No</t>
        </is>
      </c>
      <c r="I23" s="48" t="n">
        <v>0</v>
      </c>
      <c r="J23" s="46" t="inlineStr">
        <is>
          <t>Yes</t>
        </is>
      </c>
      <c r="K23" s="48" t="n">
        <v>20</v>
      </c>
      <c r="L23" s="48" t="n">
        <v>5</v>
      </c>
      <c r="M23" s="48" t="n">
        <v>25</v>
      </c>
      <c r="N23" s="48">
        <f>F23+I23+K23-L23</f>
        <v>25</v>
      </c>
      <c r="O23" s="46" t="str">
        <f>IF(ABS(M23-N23)&lt;0.001,"OK","REVIEW")</f>
        <v>OK</v>
      </c>
      <c r="P23" s="49">
        <f>DATE(YEAR(D23),MONTH(D23),1)</f>
        <v>45352</v>
      </c>
    </row>
    <row r="24" ht="19" customHeight="1">
      <c r="A24" s="50" t="n">
        <v>3250</v>
      </c>
      <c r="B24" s="50" t="inlineStr">
        <is>
          <t>Eduardo Vargas</t>
        </is>
      </c>
      <c r="C24" s="50" t="inlineStr">
        <is>
          <t>Core</t>
        </is>
      </c>
      <c r="D24" s="51" t="n">
        <v>45367</v>
      </c>
      <c r="E24" s="50" t="inlineStr">
        <is>
          <t>Yes</t>
        </is>
      </c>
      <c r="F24" s="52" t="n">
        <v>5</v>
      </c>
      <c r="G24" s="50" t="inlineStr">
        <is>
          <t>Annual</t>
        </is>
      </c>
      <c r="H24" s="50" t="inlineStr">
        <is>
          <t>No</t>
        </is>
      </c>
      <c r="I24" s="52" t="n">
        <v>0</v>
      </c>
      <c r="J24" s="50" t="inlineStr">
        <is>
          <t>No</t>
        </is>
      </c>
      <c r="K24" s="52" t="n">
        <v>0</v>
      </c>
      <c r="L24" s="52" t="n">
        <v>0</v>
      </c>
      <c r="M24" s="52" t="n">
        <v>5</v>
      </c>
      <c r="N24" s="52">
        <f>F24+I24+K24-L24</f>
        <v>5</v>
      </c>
      <c r="O24" s="50" t="str">
        <f>IF(ABS(M24-N24)&lt;0.001,"OK","REVIEW")</f>
        <v>OK</v>
      </c>
      <c r="P24" s="53">
        <f>DATE(YEAR(D24),MONTH(D24),1)</f>
        <v>45352</v>
      </c>
    </row>
    <row r="25" ht="19" customHeight="1">
      <c r="A25" s="46" t="n">
        <v>3251</v>
      </c>
      <c r="B25" s="46" t="inlineStr">
        <is>
          <t>Gabriela Santos</t>
        </is>
      </c>
      <c r="C25" s="46" t="inlineStr">
        <is>
          <t>Ultimate</t>
        </is>
      </c>
      <c r="D25" s="47" t="n">
        <v>45368</v>
      </c>
      <c r="E25" s="46" t="inlineStr">
        <is>
          <t>No</t>
        </is>
      </c>
      <c r="F25" s="48" t="n">
        <v>15</v>
      </c>
      <c r="G25" s="46" t="inlineStr">
        <is>
          <t>Monthly</t>
        </is>
      </c>
      <c r="H25" s="46" t="inlineStr">
        <is>
          <t>Yes</t>
        </is>
      </c>
      <c r="I25" s="48" t="n">
        <v>30</v>
      </c>
      <c r="J25" s="46" t="inlineStr">
        <is>
          <t>Yes</t>
        </is>
      </c>
      <c r="K25" s="48" t="n">
        <v>20</v>
      </c>
      <c r="L25" s="48" t="n">
        <v>3</v>
      </c>
      <c r="M25" s="48" t="n">
        <v>62</v>
      </c>
      <c r="N25" s="48">
        <f>F25+I25+K25-L25</f>
        <v>62</v>
      </c>
      <c r="O25" s="46" t="str">
        <f>IF(ABS(M25-N25)&lt;0.001,"OK","REVIEW")</f>
        <v>OK</v>
      </c>
      <c r="P25" s="49">
        <f>DATE(YEAR(D25),MONTH(D25),1)</f>
        <v>45352</v>
      </c>
    </row>
    <row r="26" ht="19" customHeight="1">
      <c r="A26" s="50" t="n">
        <v>3252</v>
      </c>
      <c r="B26" s="50" t="inlineStr">
        <is>
          <t>Henrique Dias</t>
        </is>
      </c>
      <c r="C26" s="50" t="inlineStr">
        <is>
          <t>Standard</t>
        </is>
      </c>
      <c r="D26" s="51" t="n">
        <v>45369</v>
      </c>
      <c r="E26" s="50" t="inlineStr">
        <is>
          <t>Yes</t>
        </is>
      </c>
      <c r="F26" s="52" t="n">
        <v>10</v>
      </c>
      <c r="G26" s="50" t="inlineStr">
        <is>
          <t>Quarterly</t>
        </is>
      </c>
      <c r="H26" s="50" t="inlineStr">
        <is>
          <t>No</t>
        </is>
      </c>
      <c r="I26" s="52" t="n">
        <v>0</v>
      </c>
      <c r="J26" s="50" t="inlineStr">
        <is>
          <t>Yes</t>
        </is>
      </c>
      <c r="K26" s="52" t="n">
        <v>20</v>
      </c>
      <c r="L26" s="52" t="n">
        <v>15</v>
      </c>
      <c r="M26" s="52" t="n">
        <v>15</v>
      </c>
      <c r="N26" s="52">
        <f>F26+I26+K26-L26</f>
        <v>15</v>
      </c>
      <c r="O26" s="50" t="str">
        <f>IF(ABS(M26-N26)&lt;0.001,"OK","REVIEW")</f>
        <v>OK</v>
      </c>
      <c r="P26" s="53">
        <f>DATE(YEAR(D26),MONTH(D26),1)</f>
        <v>45352</v>
      </c>
    </row>
    <row r="27" ht="19" customHeight="1">
      <c r="A27" s="46" t="n">
        <v>3253</v>
      </c>
      <c r="B27" s="46" t="inlineStr">
        <is>
          <t>Isabela Moreira</t>
        </is>
      </c>
      <c r="C27" s="46" t="inlineStr">
        <is>
          <t>Core</t>
        </is>
      </c>
      <c r="D27" s="47" t="n">
        <v>45370</v>
      </c>
      <c r="E27" s="46" t="inlineStr">
        <is>
          <t>No</t>
        </is>
      </c>
      <c r="F27" s="48" t="n">
        <v>5</v>
      </c>
      <c r="G27" s="46" t="inlineStr">
        <is>
          <t>Monthly</t>
        </is>
      </c>
      <c r="H27" s="46" t="inlineStr">
        <is>
          <t>No</t>
        </is>
      </c>
      <c r="I27" s="48" t="n">
        <v>0</v>
      </c>
      <c r="J27" s="46" t="inlineStr">
        <is>
          <t>No</t>
        </is>
      </c>
      <c r="K27" s="48" t="n">
        <v>0</v>
      </c>
      <c r="L27" s="48" t="n">
        <v>1</v>
      </c>
      <c r="M27" s="48" t="n">
        <v>4</v>
      </c>
      <c r="N27" s="48">
        <f>F27+I27+K27-L27</f>
        <v>4</v>
      </c>
      <c r="O27" s="46" t="str">
        <f>IF(ABS(M27-N27)&lt;0.001,"OK","REVIEW")</f>
        <v>OK</v>
      </c>
      <c r="P27" s="49">
        <f>DATE(YEAR(D27),MONTH(D27),1)</f>
        <v>45352</v>
      </c>
    </row>
    <row r="28" ht="19" customHeight="1">
      <c r="A28" s="50" t="n">
        <v>3254</v>
      </c>
      <c r="B28" s="50" t="inlineStr">
        <is>
          <t>Joaquim Barbosa</t>
        </is>
      </c>
      <c r="C28" s="50" t="inlineStr">
        <is>
          <t>Ultimate</t>
        </is>
      </c>
      <c r="D28" s="51" t="n">
        <v>45371</v>
      </c>
      <c r="E28" s="50" t="inlineStr">
        <is>
          <t>Yes</t>
        </is>
      </c>
      <c r="F28" s="52" t="n">
        <v>15</v>
      </c>
      <c r="G28" s="50" t="inlineStr">
        <is>
          <t>Annual</t>
        </is>
      </c>
      <c r="H28" s="50" t="inlineStr">
        <is>
          <t>Yes</t>
        </is>
      </c>
      <c r="I28" s="52" t="n">
        <v>30</v>
      </c>
      <c r="J28" s="50" t="inlineStr">
        <is>
          <t>Yes</t>
        </is>
      </c>
      <c r="K28" s="52" t="n">
        <v>20</v>
      </c>
      <c r="L28" s="52" t="n">
        <v>20</v>
      </c>
      <c r="M28" s="52" t="n">
        <v>45</v>
      </c>
      <c r="N28" s="52">
        <f>F28+I28+K28-L28</f>
        <v>45</v>
      </c>
      <c r="O28" s="50" t="str">
        <f>IF(ABS(M28-N28)&lt;0.001,"OK","REVIEW")</f>
        <v>OK</v>
      </c>
      <c r="P28" s="53">
        <f>DATE(YEAR(D28),MONTH(D28),1)</f>
        <v>45352</v>
      </c>
    </row>
    <row r="29" ht="19" customHeight="1">
      <c r="A29" s="46" t="n">
        <v>3255</v>
      </c>
      <c r="B29" s="46" t="inlineStr">
        <is>
          <t>Lara Rocha</t>
        </is>
      </c>
      <c r="C29" s="46" t="inlineStr">
        <is>
          <t>Standard</t>
        </is>
      </c>
      <c r="D29" s="47" t="n">
        <v>45372</v>
      </c>
      <c r="E29" s="46" t="inlineStr">
        <is>
          <t>No</t>
        </is>
      </c>
      <c r="F29" s="48" t="n">
        <v>10</v>
      </c>
      <c r="G29" s="46" t="inlineStr">
        <is>
          <t>Monthly</t>
        </is>
      </c>
      <c r="H29" s="46" t="inlineStr">
        <is>
          <t>No</t>
        </is>
      </c>
      <c r="I29" s="48" t="n">
        <v>0</v>
      </c>
      <c r="J29" s="46" t="inlineStr">
        <is>
          <t>Yes</t>
        </is>
      </c>
      <c r="K29" s="48" t="n">
        <v>20</v>
      </c>
      <c r="L29" s="48" t="n">
        <v>10</v>
      </c>
      <c r="M29" s="48" t="n">
        <v>20</v>
      </c>
      <c r="N29" s="48">
        <f>F29+I29+K29-L29</f>
        <v>20</v>
      </c>
      <c r="O29" s="46" t="str">
        <f>IF(ABS(M29-N29)&lt;0.001,"OK","REVIEW")</f>
        <v>OK</v>
      </c>
      <c r="P29" s="49">
        <f>DATE(YEAR(D29),MONTH(D29),1)</f>
        <v>45352</v>
      </c>
    </row>
    <row r="30" ht="19" customHeight="1">
      <c r="A30" s="50" t="n">
        <v>3256</v>
      </c>
      <c r="B30" s="50" t="inlineStr">
        <is>
          <t>Matheus Silva</t>
        </is>
      </c>
      <c r="C30" s="50" t="inlineStr">
        <is>
          <t>Core</t>
        </is>
      </c>
      <c r="D30" s="51" t="n">
        <v>45373</v>
      </c>
      <c r="E30" s="50" t="inlineStr">
        <is>
          <t>Yes</t>
        </is>
      </c>
      <c r="F30" s="52" t="n">
        <v>5</v>
      </c>
      <c r="G30" s="50" t="inlineStr">
        <is>
          <t>Quarterly</t>
        </is>
      </c>
      <c r="H30" s="50" t="inlineStr">
        <is>
          <t>No</t>
        </is>
      </c>
      <c r="I30" s="52" t="n">
        <v>0</v>
      </c>
      <c r="J30" s="50" t="inlineStr">
        <is>
          <t>No</t>
        </is>
      </c>
      <c r="K30" s="52" t="n">
        <v>0</v>
      </c>
      <c r="L30" s="52" t="n">
        <v>0</v>
      </c>
      <c r="M30" s="52" t="n">
        <v>5</v>
      </c>
      <c r="N30" s="52">
        <f>F30+I30+K30-L30</f>
        <v>5</v>
      </c>
      <c r="O30" s="50" t="str">
        <f>IF(ABS(M30-N30)&lt;0.001,"OK","REVIEW")</f>
        <v>OK</v>
      </c>
      <c r="P30" s="53">
        <f>DATE(YEAR(D30),MONTH(D30),1)</f>
        <v>45352</v>
      </c>
    </row>
    <row r="31" ht="19" customHeight="1">
      <c r="A31" s="46" t="n">
        <v>3257</v>
      </c>
      <c r="B31" s="46" t="inlineStr">
        <is>
          <t>Nicole Costa</t>
        </is>
      </c>
      <c r="C31" s="46" t="inlineStr">
        <is>
          <t>Ultimate</t>
        </is>
      </c>
      <c r="D31" s="47" t="n">
        <v>45374</v>
      </c>
      <c r="E31" s="46" t="inlineStr">
        <is>
          <t>No</t>
        </is>
      </c>
      <c r="F31" s="48" t="n">
        <v>15</v>
      </c>
      <c r="G31" s="46" t="inlineStr">
        <is>
          <t>Monthly</t>
        </is>
      </c>
      <c r="H31" s="46" t="inlineStr">
        <is>
          <t>Yes</t>
        </is>
      </c>
      <c r="I31" s="48" t="n">
        <v>30</v>
      </c>
      <c r="J31" s="46" t="inlineStr">
        <is>
          <t>Yes</t>
        </is>
      </c>
      <c r="K31" s="48" t="n">
        <v>20</v>
      </c>
      <c r="L31" s="48" t="n">
        <v>5</v>
      </c>
      <c r="M31" s="48" t="n">
        <v>60</v>
      </c>
      <c r="N31" s="48">
        <f>F31+I31+K31-L31</f>
        <v>60</v>
      </c>
      <c r="O31" s="46" t="str">
        <f>IF(ABS(M31-N31)&lt;0.001,"OK","REVIEW")</f>
        <v>OK</v>
      </c>
      <c r="P31" s="49">
        <f>DATE(YEAR(D31),MONTH(D31),1)</f>
        <v>45352</v>
      </c>
    </row>
    <row r="32" ht="19" customHeight="1">
      <c r="A32" s="50" t="n">
        <v>3258</v>
      </c>
      <c r="B32" s="50" t="inlineStr">
        <is>
          <t>Otávio Mendonça</t>
        </is>
      </c>
      <c r="C32" s="50" t="inlineStr">
        <is>
          <t>Standard</t>
        </is>
      </c>
      <c r="D32" s="51" t="n">
        <v>45375</v>
      </c>
      <c r="E32" s="50" t="inlineStr">
        <is>
          <t>Yes</t>
        </is>
      </c>
      <c r="F32" s="52" t="n">
        <v>10</v>
      </c>
      <c r="G32" s="50" t="inlineStr">
        <is>
          <t>Annual</t>
        </is>
      </c>
      <c r="H32" s="50" t="inlineStr">
        <is>
          <t>No</t>
        </is>
      </c>
      <c r="I32" s="52" t="n">
        <v>0</v>
      </c>
      <c r="J32" s="50" t="inlineStr">
        <is>
          <t>Yes</t>
        </is>
      </c>
      <c r="K32" s="52" t="n">
        <v>20</v>
      </c>
      <c r="L32" s="52" t="n">
        <v>15</v>
      </c>
      <c r="M32" s="52" t="n">
        <v>15</v>
      </c>
      <c r="N32" s="52">
        <f>F32+I32+K32-L32</f>
        <v>15</v>
      </c>
      <c r="O32" s="50" t="str">
        <f>IF(ABS(M32-N32)&lt;0.001,"OK","REVIEW")</f>
        <v>OK</v>
      </c>
      <c r="P32" s="53">
        <f>DATE(YEAR(D32),MONTH(D32),1)</f>
        <v>45352</v>
      </c>
    </row>
    <row r="33" ht="19" customHeight="1">
      <c r="A33" s="46" t="n">
        <v>3259</v>
      </c>
      <c r="B33" s="46" t="inlineStr">
        <is>
          <t>Paula Ferreira</t>
        </is>
      </c>
      <c r="C33" s="46" t="inlineStr">
        <is>
          <t>Core</t>
        </is>
      </c>
      <c r="D33" s="47" t="n">
        <v>45376</v>
      </c>
      <c r="E33" s="46" t="inlineStr">
        <is>
          <t>No</t>
        </is>
      </c>
      <c r="F33" s="48" t="n">
        <v>5</v>
      </c>
      <c r="G33" s="46" t="inlineStr">
        <is>
          <t>Monthly</t>
        </is>
      </c>
      <c r="H33" s="46" t="inlineStr">
        <is>
          <t>No</t>
        </is>
      </c>
      <c r="I33" s="48" t="n">
        <v>0</v>
      </c>
      <c r="J33" s="46" t="inlineStr">
        <is>
          <t>No</t>
        </is>
      </c>
      <c r="K33" s="48" t="n">
        <v>0</v>
      </c>
      <c r="L33" s="48" t="n">
        <v>1</v>
      </c>
      <c r="M33" s="48" t="n">
        <v>4</v>
      </c>
      <c r="N33" s="48">
        <f>F33+I33+K33-L33</f>
        <v>4</v>
      </c>
      <c r="O33" s="46" t="str">
        <f>IF(ABS(M33-N33)&lt;0.001,"OK","REVIEW")</f>
        <v>OK</v>
      </c>
      <c r="P33" s="49">
        <f>DATE(YEAR(D33),MONTH(D33),1)</f>
        <v>45352</v>
      </c>
    </row>
    <row r="34" ht="19" customHeight="1">
      <c r="A34" s="50" t="n">
        <v>3260</v>
      </c>
      <c r="B34" s="50" t="inlineStr">
        <is>
          <t>Raquel Alves</t>
        </is>
      </c>
      <c r="C34" s="50" t="inlineStr">
        <is>
          <t>Ultimate</t>
        </is>
      </c>
      <c r="D34" s="51" t="n">
        <v>45377</v>
      </c>
      <c r="E34" s="50" t="inlineStr">
        <is>
          <t>Yes</t>
        </is>
      </c>
      <c r="F34" s="52" t="n">
        <v>15</v>
      </c>
      <c r="G34" s="50" t="inlineStr">
        <is>
          <t>Quarterly</t>
        </is>
      </c>
      <c r="H34" s="50" t="inlineStr">
        <is>
          <t>Yes</t>
        </is>
      </c>
      <c r="I34" s="52" t="n">
        <v>30</v>
      </c>
      <c r="J34" s="50" t="inlineStr">
        <is>
          <t>Yes</t>
        </is>
      </c>
      <c r="K34" s="52" t="n">
        <v>20</v>
      </c>
      <c r="L34" s="52" t="n">
        <v>7</v>
      </c>
      <c r="M34" s="52" t="n">
        <v>58</v>
      </c>
      <c r="N34" s="52">
        <f>F34+I34+K34-L34</f>
        <v>58</v>
      </c>
      <c r="O34" s="50" t="str">
        <f>IF(ABS(M34-N34)&lt;0.001,"OK","REVIEW")</f>
        <v>OK</v>
      </c>
      <c r="P34" s="53">
        <f>DATE(YEAR(D34),MONTH(D34),1)</f>
        <v>45352</v>
      </c>
    </row>
    <row r="35" ht="19" customHeight="1">
      <c r="A35" s="46" t="n">
        <v>3261</v>
      </c>
      <c r="B35" s="46" t="inlineStr">
        <is>
          <t>Samuel Pires</t>
        </is>
      </c>
      <c r="C35" s="46" t="inlineStr">
        <is>
          <t>Standard</t>
        </is>
      </c>
      <c r="D35" s="47" t="n">
        <v>45378</v>
      </c>
      <c r="E35" s="46" t="inlineStr">
        <is>
          <t>No</t>
        </is>
      </c>
      <c r="F35" s="48" t="n">
        <v>10</v>
      </c>
      <c r="G35" s="46" t="inlineStr">
        <is>
          <t>Monthly</t>
        </is>
      </c>
      <c r="H35" s="46" t="inlineStr">
        <is>
          <t>No</t>
        </is>
      </c>
      <c r="I35" s="48" t="n">
        <v>0</v>
      </c>
      <c r="J35" s="46" t="inlineStr">
        <is>
          <t>Yes</t>
        </is>
      </c>
      <c r="K35" s="48" t="n">
        <v>20</v>
      </c>
      <c r="L35" s="48" t="n">
        <v>10</v>
      </c>
      <c r="M35" s="48" t="n">
        <v>20</v>
      </c>
      <c r="N35" s="48">
        <f>F35+I35+K35-L35</f>
        <v>20</v>
      </c>
      <c r="O35" s="46" t="str">
        <f>IF(ABS(M35-N35)&lt;0.001,"OK","REVIEW")</f>
        <v>OK</v>
      </c>
      <c r="P35" s="49">
        <f>DATE(YEAR(D35),MONTH(D35),1)</f>
        <v>45352</v>
      </c>
    </row>
    <row r="36" ht="19" customHeight="1">
      <c r="A36" s="50" t="n">
        <v>3262</v>
      </c>
      <c r="B36" s="50" t="inlineStr">
        <is>
          <t>Tânia Barros</t>
        </is>
      </c>
      <c r="C36" s="50" t="inlineStr">
        <is>
          <t>Core</t>
        </is>
      </c>
      <c r="D36" s="51" t="n">
        <v>45379</v>
      </c>
      <c r="E36" s="50" t="inlineStr">
        <is>
          <t>Yes</t>
        </is>
      </c>
      <c r="F36" s="52" t="n">
        <v>5</v>
      </c>
      <c r="G36" s="50" t="inlineStr">
        <is>
          <t>Annual</t>
        </is>
      </c>
      <c r="H36" s="50" t="inlineStr">
        <is>
          <t>No</t>
        </is>
      </c>
      <c r="I36" s="52" t="n">
        <v>0</v>
      </c>
      <c r="J36" s="50" t="inlineStr">
        <is>
          <t>No</t>
        </is>
      </c>
      <c r="K36" s="52" t="n">
        <v>0</v>
      </c>
      <c r="L36" s="52" t="n">
        <v>0</v>
      </c>
      <c r="M36" s="52" t="n">
        <v>5</v>
      </c>
      <c r="N36" s="52">
        <f>F36+I36+K36-L36</f>
        <v>5</v>
      </c>
      <c r="O36" s="50" t="str">
        <f>IF(ABS(M36-N36)&lt;0.001,"OK","REVIEW")</f>
        <v>OK</v>
      </c>
      <c r="P36" s="53">
        <f>DATE(YEAR(D36),MONTH(D36),1)</f>
        <v>45352</v>
      </c>
    </row>
    <row r="37" ht="19" customHeight="1">
      <c r="A37" s="46" t="n">
        <v>3263</v>
      </c>
      <c r="B37" s="46" t="inlineStr">
        <is>
          <t>Vinicius Lima</t>
        </is>
      </c>
      <c r="C37" s="46" t="inlineStr">
        <is>
          <t>Ultimate</t>
        </is>
      </c>
      <c r="D37" s="47" t="n">
        <v>45380</v>
      </c>
      <c r="E37" s="46" t="inlineStr">
        <is>
          <t>No</t>
        </is>
      </c>
      <c r="F37" s="48" t="n">
        <v>15</v>
      </c>
      <c r="G37" s="46" t="inlineStr">
        <is>
          <t>Monthly</t>
        </is>
      </c>
      <c r="H37" s="46" t="inlineStr">
        <is>
          <t>Yes</t>
        </is>
      </c>
      <c r="I37" s="48" t="n">
        <v>30</v>
      </c>
      <c r="J37" s="46" t="inlineStr">
        <is>
          <t>Yes</t>
        </is>
      </c>
      <c r="K37" s="48" t="n">
        <v>20</v>
      </c>
      <c r="L37" s="48" t="n">
        <v>3</v>
      </c>
      <c r="M37" s="48" t="n">
        <v>62</v>
      </c>
      <c r="N37" s="48">
        <f>F37+I37+K37-L37</f>
        <v>62</v>
      </c>
      <c r="O37" s="46" t="str">
        <f>IF(ABS(M37-N37)&lt;0.001,"OK","REVIEW")</f>
        <v>OK</v>
      </c>
      <c r="P37" s="49">
        <f>DATE(YEAR(D37),MONTH(D37),1)</f>
        <v>45352</v>
      </c>
    </row>
    <row r="38" ht="19" customHeight="1">
      <c r="A38" s="50" t="n">
        <v>3264</v>
      </c>
      <c r="B38" s="50" t="inlineStr">
        <is>
          <t>Yasmin Teixeira</t>
        </is>
      </c>
      <c r="C38" s="50" t="inlineStr">
        <is>
          <t>Standard</t>
        </is>
      </c>
      <c r="D38" s="51" t="n">
        <v>45381</v>
      </c>
      <c r="E38" s="50" t="inlineStr">
        <is>
          <t>Yes</t>
        </is>
      </c>
      <c r="F38" s="52" t="n">
        <v>10</v>
      </c>
      <c r="G38" s="50" t="inlineStr">
        <is>
          <t>Quarterly</t>
        </is>
      </c>
      <c r="H38" s="50" t="inlineStr">
        <is>
          <t>No</t>
        </is>
      </c>
      <c r="I38" s="52" t="n">
        <v>0</v>
      </c>
      <c r="J38" s="50" t="inlineStr">
        <is>
          <t>Yes</t>
        </is>
      </c>
      <c r="K38" s="52" t="n">
        <v>20</v>
      </c>
      <c r="L38" s="52" t="n">
        <v>15</v>
      </c>
      <c r="M38" s="52" t="n">
        <v>15</v>
      </c>
      <c r="N38" s="52">
        <f>F38+I38+K38-L38</f>
        <v>15</v>
      </c>
      <c r="O38" s="50" t="str">
        <f>IF(ABS(M38-N38)&lt;0.001,"OK","REVIEW")</f>
        <v>OK</v>
      </c>
      <c r="P38" s="53">
        <f>DATE(YEAR(D38),MONTH(D38),1)</f>
        <v>45352</v>
      </c>
    </row>
    <row r="39" ht="19" customHeight="1">
      <c r="A39" s="46" t="n">
        <v>3265</v>
      </c>
      <c r="B39" s="46" t="inlineStr">
        <is>
          <t>Zé Carlos</t>
        </is>
      </c>
      <c r="C39" s="46" t="inlineStr">
        <is>
          <t>Core</t>
        </is>
      </c>
      <c r="D39" s="47" t="n">
        <v>45382</v>
      </c>
      <c r="E39" s="46" t="inlineStr">
        <is>
          <t>No</t>
        </is>
      </c>
      <c r="F39" s="48" t="n">
        <v>5</v>
      </c>
      <c r="G39" s="46" t="inlineStr">
        <is>
          <t>Monthly</t>
        </is>
      </c>
      <c r="H39" s="46" t="inlineStr">
        <is>
          <t>No</t>
        </is>
      </c>
      <c r="I39" s="48" t="n">
        <v>0</v>
      </c>
      <c r="J39" s="46" t="inlineStr">
        <is>
          <t>No</t>
        </is>
      </c>
      <c r="K39" s="48" t="n">
        <v>0</v>
      </c>
      <c r="L39" s="48" t="n">
        <v>1</v>
      </c>
      <c r="M39" s="48" t="n">
        <v>4</v>
      </c>
      <c r="N39" s="48">
        <f>F39+I39+K39-L39</f>
        <v>4</v>
      </c>
      <c r="O39" s="46" t="str">
        <f>IF(ABS(M39-N39)&lt;0.001,"OK","REVIEW")</f>
        <v>OK</v>
      </c>
      <c r="P39" s="49">
        <f>DATE(YEAR(D39),MONTH(D39),1)</f>
        <v>45352</v>
      </c>
    </row>
    <row r="40" ht="19" customHeight="1">
      <c r="A40" s="50" t="n">
        <v>3266</v>
      </c>
      <c r="B40" s="50" t="inlineStr">
        <is>
          <t>Amanda Nogueira</t>
        </is>
      </c>
      <c r="C40" s="50" t="inlineStr">
        <is>
          <t>Core</t>
        </is>
      </c>
      <c r="D40" s="51" t="n">
        <v>45383</v>
      </c>
      <c r="E40" s="50" t="inlineStr">
        <is>
          <t>Yes</t>
        </is>
      </c>
      <c r="F40" s="52" t="n">
        <v>5</v>
      </c>
      <c r="G40" s="50" t="inlineStr">
        <is>
          <t>Monthly</t>
        </is>
      </c>
      <c r="H40" s="50" t="inlineStr">
        <is>
          <t>No</t>
        </is>
      </c>
      <c r="I40" s="52" t="n">
        <v>0</v>
      </c>
      <c r="J40" s="50" t="inlineStr">
        <is>
          <t>No</t>
        </is>
      </c>
      <c r="K40" s="52" t="n">
        <v>0</v>
      </c>
      <c r="L40" s="52" t="n">
        <v>0</v>
      </c>
      <c r="M40" s="52" t="n">
        <v>5</v>
      </c>
      <c r="N40" s="52">
        <f>F40+I40+K40-L40</f>
        <v>5</v>
      </c>
      <c r="O40" s="50" t="str">
        <f>IF(ABS(M40-N40)&lt;0.001,"OK","REVIEW")</f>
        <v>OK</v>
      </c>
      <c r="P40" s="53">
        <f>DATE(YEAR(D40),MONTH(D40),1)</f>
        <v>45383</v>
      </c>
    </row>
    <row r="41" ht="19" customHeight="1">
      <c r="A41" s="46" t="n">
        <v>3267</v>
      </c>
      <c r="B41" s="46" t="inlineStr">
        <is>
          <t>Bruno Cavalheiro</t>
        </is>
      </c>
      <c r="C41" s="46" t="inlineStr">
        <is>
          <t>Ultimate</t>
        </is>
      </c>
      <c r="D41" s="47" t="n">
        <v>45384</v>
      </c>
      <c r="E41" s="46" t="inlineStr">
        <is>
          <t>No</t>
        </is>
      </c>
      <c r="F41" s="48" t="n">
        <v>15</v>
      </c>
      <c r="G41" s="46" t="inlineStr">
        <is>
          <t>Quarterly</t>
        </is>
      </c>
      <c r="H41" s="46" t="inlineStr">
        <is>
          <t>Yes</t>
        </is>
      </c>
      <c r="I41" s="48" t="n">
        <v>30</v>
      </c>
      <c r="J41" s="46" t="inlineStr">
        <is>
          <t>Yes</t>
        </is>
      </c>
      <c r="K41" s="48" t="n">
        <v>20</v>
      </c>
      <c r="L41" s="48" t="n">
        <v>7</v>
      </c>
      <c r="M41" s="48" t="n">
        <v>58</v>
      </c>
      <c r="N41" s="48">
        <f>F41+I41+K41-L41</f>
        <v>58</v>
      </c>
      <c r="O41" s="46" t="str">
        <f>IF(ABS(M41-N41)&lt;0.001,"OK","REVIEW")</f>
        <v>OK</v>
      </c>
      <c r="P41" s="49">
        <f>DATE(YEAR(D41),MONTH(D41),1)</f>
        <v>45383</v>
      </c>
    </row>
    <row r="42" ht="19" customHeight="1">
      <c r="A42" s="50" t="n">
        <v>3268</v>
      </c>
      <c r="B42" s="50" t="inlineStr">
        <is>
          <t>Carla Dias</t>
        </is>
      </c>
      <c r="C42" s="50" t="inlineStr">
        <is>
          <t>Standard</t>
        </is>
      </c>
      <c r="D42" s="51" t="n">
        <v>45385</v>
      </c>
      <c r="E42" s="50" t="inlineStr">
        <is>
          <t>Yes</t>
        </is>
      </c>
      <c r="F42" s="52" t="n">
        <v>10</v>
      </c>
      <c r="G42" s="50" t="inlineStr">
        <is>
          <t>Annual</t>
        </is>
      </c>
      <c r="H42" s="50" t="inlineStr">
        <is>
          <t>No</t>
        </is>
      </c>
      <c r="I42" s="52" t="n">
        <v>0</v>
      </c>
      <c r="J42" s="50" t="inlineStr">
        <is>
          <t>Yes</t>
        </is>
      </c>
      <c r="K42" s="52" t="n">
        <v>20</v>
      </c>
      <c r="L42" s="52" t="n">
        <v>10</v>
      </c>
      <c r="M42" s="52" t="n">
        <v>20</v>
      </c>
      <c r="N42" s="52">
        <f>F42+I42+K42-L42</f>
        <v>20</v>
      </c>
      <c r="O42" s="50" t="str">
        <f>IF(ABS(M42-N42)&lt;0.001,"OK","REVIEW")</f>
        <v>OK</v>
      </c>
      <c r="P42" s="53">
        <f>DATE(YEAR(D42),MONTH(D42),1)</f>
        <v>45383</v>
      </c>
    </row>
    <row r="43" ht="19" customHeight="1">
      <c r="A43" s="46" t="n">
        <v>3269</v>
      </c>
      <c r="B43" s="46" t="inlineStr">
        <is>
          <t>Diego Fontes</t>
        </is>
      </c>
      <c r="C43" s="46" t="inlineStr">
        <is>
          <t>Core</t>
        </is>
      </c>
      <c r="D43" s="47" t="n">
        <v>45386</v>
      </c>
      <c r="E43" s="46" t="inlineStr">
        <is>
          <t>No</t>
        </is>
      </c>
      <c r="F43" s="48" t="n">
        <v>5</v>
      </c>
      <c r="G43" s="46" t="inlineStr">
        <is>
          <t>Quarterly</t>
        </is>
      </c>
      <c r="H43" s="46" t="inlineStr">
        <is>
          <t>No</t>
        </is>
      </c>
      <c r="I43" s="48" t="n">
        <v>0</v>
      </c>
      <c r="J43" s="46" t="inlineStr">
        <is>
          <t>No</t>
        </is>
      </c>
      <c r="K43" s="48" t="n">
        <v>0</v>
      </c>
      <c r="L43" s="48" t="n">
        <v>1</v>
      </c>
      <c r="M43" s="48" t="n">
        <v>4</v>
      </c>
      <c r="N43" s="48">
        <f>F43+I43+K43-L43</f>
        <v>4</v>
      </c>
      <c r="O43" s="46" t="str">
        <f>IF(ABS(M43-N43)&lt;0.001,"OK","REVIEW")</f>
        <v>OK</v>
      </c>
      <c r="P43" s="49">
        <f>DATE(YEAR(D43),MONTH(D43),1)</f>
        <v>45383</v>
      </c>
    </row>
    <row r="44" ht="19" customHeight="1">
      <c r="A44" s="50" t="n">
        <v>3270</v>
      </c>
      <c r="B44" s="50" t="inlineStr">
        <is>
          <t>Eunice Lima</t>
        </is>
      </c>
      <c r="C44" s="50" t="inlineStr">
        <is>
          <t>Ultimate</t>
        </is>
      </c>
      <c r="D44" s="51" t="n">
        <v>45387</v>
      </c>
      <c r="E44" s="50" t="inlineStr">
        <is>
          <t>Yes</t>
        </is>
      </c>
      <c r="F44" s="52" t="n">
        <v>15</v>
      </c>
      <c r="G44" s="50" t="inlineStr">
        <is>
          <t>Monthly</t>
        </is>
      </c>
      <c r="H44" s="50" t="inlineStr">
        <is>
          <t>Yes</t>
        </is>
      </c>
      <c r="I44" s="52" t="n">
        <v>30</v>
      </c>
      <c r="J44" s="50" t="inlineStr">
        <is>
          <t>Yes</t>
        </is>
      </c>
      <c r="K44" s="52" t="n">
        <v>20</v>
      </c>
      <c r="L44" s="52" t="n">
        <v>15</v>
      </c>
      <c r="M44" s="52" t="n">
        <v>50</v>
      </c>
      <c r="N44" s="52">
        <f>F44+I44+K44-L44</f>
        <v>50</v>
      </c>
      <c r="O44" s="50" t="str">
        <f>IF(ABS(M44-N44)&lt;0.001,"OK","REVIEW")</f>
        <v>OK</v>
      </c>
      <c r="P44" s="53">
        <f>DATE(YEAR(D44),MONTH(D44),1)</f>
        <v>45383</v>
      </c>
    </row>
    <row r="45" ht="19" customHeight="1">
      <c r="A45" s="46" t="n">
        <v>3271</v>
      </c>
      <c r="B45" s="46" t="inlineStr">
        <is>
          <t>Fábio Martins</t>
        </is>
      </c>
      <c r="C45" s="46" t="inlineStr">
        <is>
          <t>Standard</t>
        </is>
      </c>
      <c r="D45" s="47" t="n">
        <v>45388</v>
      </c>
      <c r="E45" s="46" t="inlineStr">
        <is>
          <t>No</t>
        </is>
      </c>
      <c r="F45" s="48" t="n">
        <v>10</v>
      </c>
      <c r="G45" s="46" t="inlineStr">
        <is>
          <t>Monthly</t>
        </is>
      </c>
      <c r="H45" s="46" t="inlineStr">
        <is>
          <t>No</t>
        </is>
      </c>
      <c r="I45" s="48" t="n">
        <v>0</v>
      </c>
      <c r="J45" s="46" t="inlineStr">
        <is>
          <t>Yes</t>
        </is>
      </c>
      <c r="K45" s="48" t="n">
        <v>20</v>
      </c>
      <c r="L45" s="48" t="n">
        <v>5</v>
      </c>
      <c r="M45" s="48" t="n">
        <v>25</v>
      </c>
      <c r="N45" s="48">
        <f>F45+I45+K45-L45</f>
        <v>25</v>
      </c>
      <c r="O45" s="46" t="str">
        <f>IF(ABS(M45-N45)&lt;0.001,"OK","REVIEW")</f>
        <v>OK</v>
      </c>
      <c r="P45" s="49">
        <f>DATE(YEAR(D45),MONTH(D45),1)</f>
        <v>45383</v>
      </c>
    </row>
    <row r="46" ht="19" customHeight="1">
      <c r="A46" s="50" t="n">
        <v>3272</v>
      </c>
      <c r="B46" s="50" t="inlineStr">
        <is>
          <t>Gisele Araújo</t>
        </is>
      </c>
      <c r="C46" s="50" t="inlineStr">
        <is>
          <t>Core</t>
        </is>
      </c>
      <c r="D46" s="51" t="n">
        <v>45389</v>
      </c>
      <c r="E46" s="50" t="inlineStr">
        <is>
          <t>Yes</t>
        </is>
      </c>
      <c r="F46" s="52" t="n">
        <v>5</v>
      </c>
      <c r="G46" s="50" t="inlineStr">
        <is>
          <t>Annual</t>
        </is>
      </c>
      <c r="H46" s="50" t="inlineStr">
        <is>
          <t>No</t>
        </is>
      </c>
      <c r="I46" s="52" t="n">
        <v>0</v>
      </c>
      <c r="J46" s="50" t="inlineStr">
        <is>
          <t>No</t>
        </is>
      </c>
      <c r="K46" s="52" t="n">
        <v>0</v>
      </c>
      <c r="L46" s="52" t="n">
        <v>0</v>
      </c>
      <c r="M46" s="52" t="n">
        <v>5</v>
      </c>
      <c r="N46" s="52">
        <f>F46+I46+K46-L46</f>
        <v>5</v>
      </c>
      <c r="O46" s="50" t="str">
        <f>IF(ABS(M46-N46)&lt;0.001,"OK","REVIEW")</f>
        <v>OK</v>
      </c>
      <c r="P46" s="53">
        <f>DATE(YEAR(D46),MONTH(D46),1)</f>
        <v>45383</v>
      </c>
    </row>
    <row r="47" ht="19" customHeight="1">
      <c r="A47" s="46" t="n">
        <v>3273</v>
      </c>
      <c r="B47" s="46" t="inlineStr">
        <is>
          <t>Hélio Castro</t>
        </is>
      </c>
      <c r="C47" s="46" t="inlineStr">
        <is>
          <t>Ultimate</t>
        </is>
      </c>
      <c r="D47" s="47" t="n">
        <v>45390</v>
      </c>
      <c r="E47" s="46" t="inlineStr">
        <is>
          <t>No</t>
        </is>
      </c>
      <c r="F47" s="48" t="n">
        <v>15</v>
      </c>
      <c r="G47" s="46" t="inlineStr">
        <is>
          <t>Quarterly</t>
        </is>
      </c>
      <c r="H47" s="46" t="inlineStr">
        <is>
          <t>Yes</t>
        </is>
      </c>
      <c r="I47" s="48" t="n">
        <v>30</v>
      </c>
      <c r="J47" s="46" t="inlineStr">
        <is>
          <t>Yes</t>
        </is>
      </c>
      <c r="K47" s="48" t="n">
        <v>20</v>
      </c>
      <c r="L47" s="48" t="n">
        <v>20</v>
      </c>
      <c r="M47" s="48" t="n">
        <v>45</v>
      </c>
      <c r="N47" s="48">
        <f>F47+I47+K47-L47</f>
        <v>45</v>
      </c>
      <c r="O47" s="46" t="str">
        <f>IF(ABS(M47-N47)&lt;0.001,"OK","REVIEW")</f>
        <v>OK</v>
      </c>
      <c r="P47" s="49">
        <f>DATE(YEAR(D47),MONTH(D47),1)</f>
        <v>45383</v>
      </c>
    </row>
    <row r="48" ht="19" customHeight="1">
      <c r="A48" s="50" t="n">
        <v>3274</v>
      </c>
      <c r="B48" s="50" t="inlineStr">
        <is>
          <t>Ingrid Menezes</t>
        </is>
      </c>
      <c r="C48" s="50" t="inlineStr">
        <is>
          <t>Standard</t>
        </is>
      </c>
      <c r="D48" s="51" t="n">
        <v>45391</v>
      </c>
      <c r="E48" s="50" t="inlineStr">
        <is>
          <t>Yes</t>
        </is>
      </c>
      <c r="F48" s="52" t="n">
        <v>10</v>
      </c>
      <c r="G48" s="50" t="inlineStr">
        <is>
          <t>Quarterly</t>
        </is>
      </c>
      <c r="H48" s="50" t="inlineStr">
        <is>
          <t>No</t>
        </is>
      </c>
      <c r="I48" s="52" t="n">
        <v>0</v>
      </c>
      <c r="J48" s="50" t="inlineStr">
        <is>
          <t>Yes</t>
        </is>
      </c>
      <c r="K48" s="52" t="n">
        <v>20</v>
      </c>
      <c r="L48" s="52" t="n">
        <v>12</v>
      </c>
      <c r="M48" s="52" t="n">
        <v>18</v>
      </c>
      <c r="N48" s="52">
        <f>F48+I48+K48-L48</f>
        <v>18</v>
      </c>
      <c r="O48" s="50" t="str">
        <f>IF(ABS(M48-N48)&lt;0.001,"OK","REVIEW")</f>
        <v>OK</v>
      </c>
      <c r="P48" s="53">
        <f>DATE(YEAR(D48),MONTH(D48),1)</f>
        <v>45383</v>
      </c>
    </row>
    <row r="49" ht="19" customHeight="1">
      <c r="A49" s="46" t="n">
        <v>3275</v>
      </c>
      <c r="B49" s="46" t="inlineStr">
        <is>
          <t>Jorge Baptista</t>
        </is>
      </c>
      <c r="C49" s="46" t="inlineStr">
        <is>
          <t>Core</t>
        </is>
      </c>
      <c r="D49" s="47" t="n">
        <v>45392</v>
      </c>
      <c r="E49" s="46" t="inlineStr">
        <is>
          <t>No</t>
        </is>
      </c>
      <c r="F49" s="48" t="n">
        <v>5</v>
      </c>
      <c r="G49" s="46" t="inlineStr">
        <is>
          <t>Monthly</t>
        </is>
      </c>
      <c r="H49" s="46" t="inlineStr">
        <is>
          <t>No</t>
        </is>
      </c>
      <c r="I49" s="48" t="n">
        <v>0</v>
      </c>
      <c r="J49" s="46" t="inlineStr">
        <is>
          <t>No</t>
        </is>
      </c>
      <c r="K49" s="48" t="n">
        <v>0</v>
      </c>
      <c r="L49" s="48" t="n">
        <v>2</v>
      </c>
      <c r="M49" s="48" t="n">
        <v>3</v>
      </c>
      <c r="N49" s="48">
        <f>F49+I49+K49-L49</f>
        <v>3</v>
      </c>
      <c r="O49" s="46" t="str">
        <f>IF(ABS(M49-N49)&lt;0.001,"OK","REVIEW")</f>
        <v>OK</v>
      </c>
      <c r="P49" s="49">
        <f>DATE(YEAR(D49),MONTH(D49),1)</f>
        <v>45383</v>
      </c>
    </row>
    <row r="50" ht="19" customHeight="1">
      <c r="A50" s="50" t="n">
        <v>3276</v>
      </c>
      <c r="B50" s="50" t="inlineStr">
        <is>
          <t>Kléber Oliveira</t>
        </is>
      </c>
      <c r="C50" s="50" t="inlineStr">
        <is>
          <t>Ultimate</t>
        </is>
      </c>
      <c r="D50" s="51" t="n">
        <v>45393</v>
      </c>
      <c r="E50" s="50" t="inlineStr">
        <is>
          <t>Yes</t>
        </is>
      </c>
      <c r="F50" s="52" t="n">
        <v>15</v>
      </c>
      <c r="G50" s="50" t="inlineStr">
        <is>
          <t>Annual</t>
        </is>
      </c>
      <c r="H50" s="50" t="inlineStr">
        <is>
          <t>Yes</t>
        </is>
      </c>
      <c r="I50" s="52" t="n">
        <v>30</v>
      </c>
      <c r="J50" s="50" t="inlineStr">
        <is>
          <t>Yes</t>
        </is>
      </c>
      <c r="K50" s="52" t="n">
        <v>20</v>
      </c>
      <c r="L50" s="52" t="n">
        <v>5</v>
      </c>
      <c r="M50" s="52" t="n">
        <v>60</v>
      </c>
      <c r="N50" s="52">
        <f>F50+I50+K50-L50</f>
        <v>60</v>
      </c>
      <c r="O50" s="50" t="str">
        <f>IF(ABS(M50-N50)&lt;0.001,"OK","REVIEW")</f>
        <v>OK</v>
      </c>
      <c r="P50" s="53">
        <f>DATE(YEAR(D50),MONTH(D50),1)</f>
        <v>45383</v>
      </c>
    </row>
    <row r="51" ht="19" customHeight="1">
      <c r="A51" s="46" t="n">
        <v>3277</v>
      </c>
      <c r="B51" s="46" t="inlineStr">
        <is>
          <t>Luciana Freitas</t>
        </is>
      </c>
      <c r="C51" s="46" t="inlineStr">
        <is>
          <t>Standard</t>
        </is>
      </c>
      <c r="D51" s="47" t="n">
        <v>45394</v>
      </c>
      <c r="E51" s="46" t="inlineStr">
        <is>
          <t>No</t>
        </is>
      </c>
      <c r="F51" s="48" t="n">
        <v>10</v>
      </c>
      <c r="G51" s="46" t="inlineStr">
        <is>
          <t>Monthly</t>
        </is>
      </c>
      <c r="H51" s="46" t="inlineStr">
        <is>
          <t>No</t>
        </is>
      </c>
      <c r="I51" s="48" t="n">
        <v>0</v>
      </c>
      <c r="J51" s="46" t="inlineStr">
        <is>
          <t>Yes</t>
        </is>
      </c>
      <c r="K51" s="48" t="n">
        <v>20</v>
      </c>
      <c r="L51" s="48" t="n">
        <v>10</v>
      </c>
      <c r="M51" s="48" t="n">
        <v>20</v>
      </c>
      <c r="N51" s="48">
        <f>F51+I51+K51-L51</f>
        <v>20</v>
      </c>
      <c r="O51" s="46" t="str">
        <f>IF(ABS(M51-N51)&lt;0.001,"OK","REVIEW")</f>
        <v>OK</v>
      </c>
      <c r="P51" s="49">
        <f>DATE(YEAR(D51),MONTH(D51),1)</f>
        <v>45383</v>
      </c>
    </row>
    <row r="52" ht="19" customHeight="1">
      <c r="A52" s="50" t="n">
        <v>3278</v>
      </c>
      <c r="B52" s="50" t="inlineStr">
        <is>
          <t>Márcia Eller</t>
        </is>
      </c>
      <c r="C52" s="50" t="inlineStr">
        <is>
          <t>Core</t>
        </is>
      </c>
      <c r="D52" s="51" t="n">
        <v>45395</v>
      </c>
      <c r="E52" s="50" t="inlineStr">
        <is>
          <t>Yes</t>
        </is>
      </c>
      <c r="F52" s="52" t="n">
        <v>5</v>
      </c>
      <c r="G52" s="50" t="inlineStr">
        <is>
          <t>Quarterly</t>
        </is>
      </c>
      <c r="H52" s="50" t="inlineStr">
        <is>
          <t>No</t>
        </is>
      </c>
      <c r="I52" s="52" t="n">
        <v>0</v>
      </c>
      <c r="J52" s="50" t="inlineStr">
        <is>
          <t>No</t>
        </is>
      </c>
      <c r="K52" s="52" t="n">
        <v>0</v>
      </c>
      <c r="L52" s="52" t="n">
        <v>0</v>
      </c>
      <c r="M52" s="52" t="n">
        <v>5</v>
      </c>
      <c r="N52" s="52">
        <f>F52+I52+K52-L52</f>
        <v>5</v>
      </c>
      <c r="O52" s="50" t="str">
        <f>IF(ABS(M52-N52)&lt;0.001,"OK","REVIEW")</f>
        <v>OK</v>
      </c>
      <c r="P52" s="53">
        <f>DATE(YEAR(D52),MONTH(D52),1)</f>
        <v>45383</v>
      </c>
    </row>
    <row r="53" ht="19" customHeight="1">
      <c r="A53" s="46" t="n">
        <v>3279</v>
      </c>
      <c r="B53" s="46" t="inlineStr">
        <is>
          <t>Nilo Peçanha</t>
        </is>
      </c>
      <c r="C53" s="46" t="inlineStr">
        <is>
          <t>Ultimate</t>
        </is>
      </c>
      <c r="D53" s="47" t="n">
        <v>45396</v>
      </c>
      <c r="E53" s="46" t="inlineStr">
        <is>
          <t>No</t>
        </is>
      </c>
      <c r="F53" s="48" t="n">
        <v>15</v>
      </c>
      <c r="G53" s="46" t="inlineStr">
        <is>
          <t>Monthly</t>
        </is>
      </c>
      <c r="H53" s="46" t="inlineStr">
        <is>
          <t>Yes</t>
        </is>
      </c>
      <c r="I53" s="48" t="n">
        <v>30</v>
      </c>
      <c r="J53" s="46" t="inlineStr">
        <is>
          <t>Yes</t>
        </is>
      </c>
      <c r="K53" s="48" t="n">
        <v>20</v>
      </c>
      <c r="L53" s="48" t="n">
        <v>3</v>
      </c>
      <c r="M53" s="48" t="n">
        <v>62</v>
      </c>
      <c r="N53" s="48">
        <f>F53+I53+K53-L53</f>
        <v>62</v>
      </c>
      <c r="O53" s="46" t="str">
        <f>IF(ABS(M53-N53)&lt;0.001,"OK","REVIEW")</f>
        <v>OK</v>
      </c>
      <c r="P53" s="49">
        <f>DATE(YEAR(D53),MONTH(D53),1)</f>
        <v>45383</v>
      </c>
    </row>
    <row r="54" ht="19" customHeight="1">
      <c r="A54" s="50" t="n">
        <v>3280</v>
      </c>
      <c r="B54" s="50" t="inlineStr">
        <is>
          <t>Oscar Neves</t>
        </is>
      </c>
      <c r="C54" s="50" t="inlineStr">
        <is>
          <t>Standard</t>
        </is>
      </c>
      <c r="D54" s="51" t="n">
        <v>45397</v>
      </c>
      <c r="E54" s="50" t="inlineStr">
        <is>
          <t>Yes</t>
        </is>
      </c>
      <c r="F54" s="52" t="n">
        <v>10</v>
      </c>
      <c r="G54" s="50" t="inlineStr">
        <is>
          <t>Annual</t>
        </is>
      </c>
      <c r="H54" s="50" t="inlineStr">
        <is>
          <t>No</t>
        </is>
      </c>
      <c r="I54" s="52" t="n">
        <v>0</v>
      </c>
      <c r="J54" s="50" t="inlineStr">
        <is>
          <t>Yes</t>
        </is>
      </c>
      <c r="K54" s="52" t="n">
        <v>20</v>
      </c>
      <c r="L54" s="52" t="n">
        <v>15</v>
      </c>
      <c r="M54" s="52" t="n">
        <v>15</v>
      </c>
      <c r="N54" s="52">
        <f>F54+I54+K54-L54</f>
        <v>15</v>
      </c>
      <c r="O54" s="50" t="str">
        <f>IF(ABS(M54-N54)&lt;0.001,"OK","REVIEW")</f>
        <v>OK</v>
      </c>
      <c r="P54" s="53">
        <f>DATE(YEAR(D54),MONTH(D54),1)</f>
        <v>45383</v>
      </c>
    </row>
    <row r="55" ht="19" customHeight="1">
      <c r="A55" s="46" t="n">
        <v>3281</v>
      </c>
      <c r="B55" s="46" t="inlineStr">
        <is>
          <t>Patrícia Soares</t>
        </is>
      </c>
      <c r="C55" s="46" t="inlineStr">
        <is>
          <t>Core</t>
        </is>
      </c>
      <c r="D55" s="47" t="n">
        <v>45398</v>
      </c>
      <c r="E55" s="46" t="inlineStr">
        <is>
          <t>No</t>
        </is>
      </c>
      <c r="F55" s="48" t="n">
        <v>5</v>
      </c>
      <c r="G55" s="46" t="inlineStr">
        <is>
          <t>Monthly</t>
        </is>
      </c>
      <c r="H55" s="46" t="inlineStr">
        <is>
          <t>No</t>
        </is>
      </c>
      <c r="I55" s="48" t="n">
        <v>0</v>
      </c>
      <c r="J55" s="46" t="inlineStr">
        <is>
          <t>No</t>
        </is>
      </c>
      <c r="K55" s="48" t="n">
        <v>0</v>
      </c>
      <c r="L55" s="48" t="n">
        <v>1</v>
      </c>
      <c r="M55" s="48" t="n">
        <v>4</v>
      </c>
      <c r="N55" s="48">
        <f>F55+I55+K55-L55</f>
        <v>4</v>
      </c>
      <c r="O55" s="46" t="str">
        <f>IF(ABS(M55-N55)&lt;0.001,"OK","REVIEW")</f>
        <v>OK</v>
      </c>
      <c r="P55" s="49">
        <f>DATE(YEAR(D55),MONTH(D55),1)</f>
        <v>45383</v>
      </c>
    </row>
    <row r="56" ht="19" customHeight="1">
      <c r="A56" s="50" t="n">
        <v>3282</v>
      </c>
      <c r="B56" s="50" t="inlineStr">
        <is>
          <t>Quirino Gonçalves</t>
        </is>
      </c>
      <c r="C56" s="50" t="inlineStr">
        <is>
          <t>Ultimate</t>
        </is>
      </c>
      <c r="D56" s="51" t="n">
        <v>45399</v>
      </c>
      <c r="E56" s="50" t="inlineStr">
        <is>
          <t>Yes</t>
        </is>
      </c>
      <c r="F56" s="52" t="n">
        <v>15</v>
      </c>
      <c r="G56" s="50" t="inlineStr">
        <is>
          <t>Quarterly</t>
        </is>
      </c>
      <c r="H56" s="50" t="inlineStr">
        <is>
          <t>Yes</t>
        </is>
      </c>
      <c r="I56" s="52" t="n">
        <v>30</v>
      </c>
      <c r="J56" s="50" t="inlineStr">
        <is>
          <t>Yes</t>
        </is>
      </c>
      <c r="K56" s="52" t="n">
        <v>20</v>
      </c>
      <c r="L56" s="52" t="n">
        <v>7</v>
      </c>
      <c r="M56" s="52" t="n">
        <v>58</v>
      </c>
      <c r="N56" s="52">
        <f>F56+I56+K56-L56</f>
        <v>58</v>
      </c>
      <c r="O56" s="50" t="str">
        <f>IF(ABS(M56-N56)&lt;0.001,"OK","REVIEW")</f>
        <v>OK</v>
      </c>
      <c r="P56" s="53">
        <f>DATE(YEAR(D56),MONTH(D56),1)</f>
        <v>45383</v>
      </c>
    </row>
    <row r="57" ht="19" customHeight="1">
      <c r="A57" s="46" t="n">
        <v>3283</v>
      </c>
      <c r="B57" s="46" t="inlineStr">
        <is>
          <t>Raul Machado</t>
        </is>
      </c>
      <c r="C57" s="46" t="inlineStr">
        <is>
          <t>Standard</t>
        </is>
      </c>
      <c r="D57" s="47" t="n">
        <v>45400</v>
      </c>
      <c r="E57" s="46" t="inlineStr">
        <is>
          <t>No</t>
        </is>
      </c>
      <c r="F57" s="48" t="n">
        <v>10</v>
      </c>
      <c r="G57" s="46" t="inlineStr">
        <is>
          <t>Monthly</t>
        </is>
      </c>
      <c r="H57" s="46" t="inlineStr">
        <is>
          <t>No</t>
        </is>
      </c>
      <c r="I57" s="48" t="n">
        <v>0</v>
      </c>
      <c r="J57" s="46" t="inlineStr">
        <is>
          <t>Yes</t>
        </is>
      </c>
      <c r="K57" s="48" t="n">
        <v>20</v>
      </c>
      <c r="L57" s="48" t="n">
        <v>10</v>
      </c>
      <c r="M57" s="48" t="n">
        <v>20</v>
      </c>
      <c r="N57" s="48">
        <f>F57+I57+K57-L57</f>
        <v>20</v>
      </c>
      <c r="O57" s="46" t="str">
        <f>IF(ABS(M57-N57)&lt;0.001,"OK","REVIEW")</f>
        <v>OK</v>
      </c>
      <c r="P57" s="49">
        <f>DATE(YEAR(D57),MONTH(D57),1)</f>
        <v>45383</v>
      </c>
    </row>
    <row r="58" ht="19" customHeight="1">
      <c r="A58" s="50" t="n">
        <v>3284</v>
      </c>
      <c r="B58" s="50" t="inlineStr">
        <is>
          <t>Sônia Lobo</t>
        </is>
      </c>
      <c r="C58" s="50" t="inlineStr">
        <is>
          <t>Core</t>
        </is>
      </c>
      <c r="D58" s="51" t="n">
        <v>45401</v>
      </c>
      <c r="E58" s="50" t="inlineStr">
        <is>
          <t>Yes</t>
        </is>
      </c>
      <c r="F58" s="52" t="n">
        <v>5</v>
      </c>
      <c r="G58" s="50" t="inlineStr">
        <is>
          <t>Annual</t>
        </is>
      </c>
      <c r="H58" s="50" t="inlineStr">
        <is>
          <t>No</t>
        </is>
      </c>
      <c r="I58" s="52" t="n">
        <v>0</v>
      </c>
      <c r="J58" s="50" t="inlineStr">
        <is>
          <t>No</t>
        </is>
      </c>
      <c r="K58" s="52" t="n">
        <v>0</v>
      </c>
      <c r="L58" s="52" t="n">
        <v>0</v>
      </c>
      <c r="M58" s="52" t="n">
        <v>5</v>
      </c>
      <c r="N58" s="52">
        <f>F58+I58+K58-L58</f>
        <v>5</v>
      </c>
      <c r="O58" s="50" t="str">
        <f>IF(ABS(M58-N58)&lt;0.001,"OK","REVIEW")</f>
        <v>OK</v>
      </c>
      <c r="P58" s="53">
        <f>DATE(YEAR(D58),MONTH(D58),1)</f>
        <v>45383</v>
      </c>
    </row>
    <row r="59" ht="19" customHeight="1">
      <c r="A59" s="46" t="n">
        <v>3285</v>
      </c>
      <c r="B59" s="46" t="inlineStr">
        <is>
          <t>Tiago Ramos</t>
        </is>
      </c>
      <c r="C59" s="46" t="inlineStr">
        <is>
          <t>Ultimate</t>
        </is>
      </c>
      <c r="D59" s="47" t="n">
        <v>45402</v>
      </c>
      <c r="E59" s="46" t="inlineStr">
        <is>
          <t>No</t>
        </is>
      </c>
      <c r="F59" s="48" t="n">
        <v>15</v>
      </c>
      <c r="G59" s="46" t="inlineStr">
        <is>
          <t>Monthly</t>
        </is>
      </c>
      <c r="H59" s="46" t="inlineStr">
        <is>
          <t>Yes</t>
        </is>
      </c>
      <c r="I59" s="48" t="n">
        <v>30</v>
      </c>
      <c r="J59" s="46" t="inlineStr">
        <is>
          <t>Yes</t>
        </is>
      </c>
      <c r="K59" s="48" t="n">
        <v>20</v>
      </c>
      <c r="L59" s="48" t="n">
        <v>20</v>
      </c>
      <c r="M59" s="48" t="n">
        <v>45</v>
      </c>
      <c r="N59" s="48">
        <f>F59+I59+K59-L59</f>
        <v>45</v>
      </c>
      <c r="O59" s="46" t="str">
        <f>IF(ABS(M59-N59)&lt;0.001,"OK","REVIEW")</f>
        <v>OK</v>
      </c>
      <c r="P59" s="49">
        <f>DATE(YEAR(D59),MONTH(D59),1)</f>
        <v>45383</v>
      </c>
    </row>
    <row r="60" ht="19" customHeight="1">
      <c r="A60" s="50" t="n">
        <v>3286</v>
      </c>
      <c r="B60" s="50" t="inlineStr">
        <is>
          <t>Ugo Pires</t>
        </is>
      </c>
      <c r="C60" s="50" t="inlineStr">
        <is>
          <t>Standard</t>
        </is>
      </c>
      <c r="D60" s="51" t="n">
        <v>45403</v>
      </c>
      <c r="E60" s="50" t="inlineStr">
        <is>
          <t>Yes</t>
        </is>
      </c>
      <c r="F60" s="52" t="n">
        <v>10</v>
      </c>
      <c r="G60" s="50" t="inlineStr">
        <is>
          <t>Quarterly</t>
        </is>
      </c>
      <c r="H60" s="50" t="inlineStr">
        <is>
          <t>No</t>
        </is>
      </c>
      <c r="I60" s="52" t="n">
        <v>0</v>
      </c>
      <c r="J60" s="50" t="inlineStr">
        <is>
          <t>Yes</t>
        </is>
      </c>
      <c r="K60" s="52" t="n">
        <v>20</v>
      </c>
      <c r="L60" s="52" t="n">
        <v>15</v>
      </c>
      <c r="M60" s="52" t="n">
        <v>15</v>
      </c>
      <c r="N60" s="52">
        <f>F60+I60+K60-L60</f>
        <v>15</v>
      </c>
      <c r="O60" s="50" t="str">
        <f>IF(ABS(M60-N60)&lt;0.001,"OK","REVIEW")</f>
        <v>OK</v>
      </c>
      <c r="P60" s="53">
        <f>DATE(YEAR(D60),MONTH(D60),1)</f>
        <v>45383</v>
      </c>
    </row>
    <row r="61" ht="19" customHeight="1">
      <c r="A61" s="46" t="n">
        <v>3287</v>
      </c>
      <c r="B61" s="46" t="inlineStr">
        <is>
          <t>Valéria Nobre</t>
        </is>
      </c>
      <c r="C61" s="46" t="inlineStr">
        <is>
          <t>Core</t>
        </is>
      </c>
      <c r="D61" s="47" t="n">
        <v>45404</v>
      </c>
      <c r="E61" s="46" t="inlineStr">
        <is>
          <t>No</t>
        </is>
      </c>
      <c r="F61" s="48" t="n">
        <v>5</v>
      </c>
      <c r="G61" s="46" t="inlineStr">
        <is>
          <t>Monthly</t>
        </is>
      </c>
      <c r="H61" s="46" t="inlineStr">
        <is>
          <t>No</t>
        </is>
      </c>
      <c r="I61" s="48" t="n">
        <v>0</v>
      </c>
      <c r="J61" s="46" t="inlineStr">
        <is>
          <t>No</t>
        </is>
      </c>
      <c r="K61" s="48" t="n">
        <v>0</v>
      </c>
      <c r="L61" s="48" t="n">
        <v>1</v>
      </c>
      <c r="M61" s="48" t="n">
        <v>4</v>
      </c>
      <c r="N61" s="48">
        <f>F61+I61+K61-L61</f>
        <v>4</v>
      </c>
      <c r="O61" s="46" t="str">
        <f>IF(ABS(M61-N61)&lt;0.001,"OK","REVIEW")</f>
        <v>OK</v>
      </c>
      <c r="P61" s="49">
        <f>DATE(YEAR(D61),MONTH(D61),1)</f>
        <v>45383</v>
      </c>
    </row>
    <row r="62" ht="19" customHeight="1">
      <c r="A62" s="50" t="n">
        <v>3288</v>
      </c>
      <c r="B62" s="50" t="inlineStr">
        <is>
          <t>William Siqueira</t>
        </is>
      </c>
      <c r="C62" s="50" t="inlineStr">
        <is>
          <t>Ultimate</t>
        </is>
      </c>
      <c r="D62" s="51" t="n">
        <v>45405</v>
      </c>
      <c r="E62" s="50" t="inlineStr">
        <is>
          <t>Yes</t>
        </is>
      </c>
      <c r="F62" s="52" t="n">
        <v>15</v>
      </c>
      <c r="G62" s="50" t="inlineStr">
        <is>
          <t>Annual</t>
        </is>
      </c>
      <c r="H62" s="50" t="inlineStr">
        <is>
          <t>Yes</t>
        </is>
      </c>
      <c r="I62" s="52" t="n">
        <v>30</v>
      </c>
      <c r="J62" s="50" t="inlineStr">
        <is>
          <t>Yes</t>
        </is>
      </c>
      <c r="K62" s="52" t="n">
        <v>20</v>
      </c>
      <c r="L62" s="52" t="n">
        <v>3</v>
      </c>
      <c r="M62" s="52" t="n">
        <v>62</v>
      </c>
      <c r="N62" s="52">
        <f>F62+I62+K62-L62</f>
        <v>62</v>
      </c>
      <c r="O62" s="50" t="str">
        <f>IF(ABS(M62-N62)&lt;0.001,"OK","REVIEW")</f>
        <v>OK</v>
      </c>
      <c r="P62" s="53">
        <f>DATE(YEAR(D62),MONTH(D62),1)</f>
        <v>45383</v>
      </c>
    </row>
    <row r="63" ht="19" customHeight="1">
      <c r="A63" s="46" t="n">
        <v>3289</v>
      </c>
      <c r="B63" s="46" t="inlineStr">
        <is>
          <t>Xuxa Meneghel</t>
        </is>
      </c>
      <c r="C63" s="46" t="inlineStr">
        <is>
          <t>Standard</t>
        </is>
      </c>
      <c r="D63" s="47" t="n">
        <v>45406</v>
      </c>
      <c r="E63" s="46" t="inlineStr">
        <is>
          <t>No</t>
        </is>
      </c>
      <c r="F63" s="48" t="n">
        <v>10</v>
      </c>
      <c r="G63" s="46" t="inlineStr">
        <is>
          <t>Monthly</t>
        </is>
      </c>
      <c r="H63" s="46" t="inlineStr">
        <is>
          <t>No</t>
        </is>
      </c>
      <c r="I63" s="48" t="n">
        <v>0</v>
      </c>
      <c r="J63" s="46" t="inlineStr">
        <is>
          <t>Yes</t>
        </is>
      </c>
      <c r="K63" s="48" t="n">
        <v>20</v>
      </c>
      <c r="L63" s="48" t="n">
        <v>10</v>
      </c>
      <c r="M63" s="48" t="n">
        <v>20</v>
      </c>
      <c r="N63" s="48">
        <f>F63+I63+K63-L63</f>
        <v>20</v>
      </c>
      <c r="O63" s="46" t="str">
        <f>IF(ABS(M63-N63)&lt;0.001,"OK","REVIEW")</f>
        <v>OK</v>
      </c>
      <c r="P63" s="49">
        <f>DATE(YEAR(D63),MONTH(D63),1)</f>
        <v>45383</v>
      </c>
    </row>
    <row r="64" ht="19" customHeight="1">
      <c r="A64" s="50" t="n">
        <v>3290</v>
      </c>
      <c r="B64" s="50" t="inlineStr">
        <is>
          <t>Yara Figueiredo</t>
        </is>
      </c>
      <c r="C64" s="50" t="inlineStr">
        <is>
          <t>Core</t>
        </is>
      </c>
      <c r="D64" s="51" t="n">
        <v>45407</v>
      </c>
      <c r="E64" s="50" t="inlineStr">
        <is>
          <t>Yes</t>
        </is>
      </c>
      <c r="F64" s="52" t="n">
        <v>5</v>
      </c>
      <c r="G64" s="50" t="inlineStr">
        <is>
          <t>Quarterly</t>
        </is>
      </c>
      <c r="H64" s="50" t="inlineStr">
        <is>
          <t>No</t>
        </is>
      </c>
      <c r="I64" s="52" t="n">
        <v>0</v>
      </c>
      <c r="J64" s="50" t="inlineStr">
        <is>
          <t>No</t>
        </is>
      </c>
      <c r="K64" s="52" t="n">
        <v>0</v>
      </c>
      <c r="L64" s="52" t="n">
        <v>0</v>
      </c>
      <c r="M64" s="52" t="n">
        <v>5</v>
      </c>
      <c r="N64" s="52">
        <f>F64+I64+K64-L64</f>
        <v>5</v>
      </c>
      <c r="O64" s="50" t="str">
        <f>IF(ABS(M64-N64)&lt;0.001,"OK","REVIEW")</f>
        <v>OK</v>
      </c>
      <c r="P64" s="53">
        <f>DATE(YEAR(D64),MONTH(D64),1)</f>
        <v>45383</v>
      </c>
    </row>
    <row r="65" ht="19" customHeight="1">
      <c r="A65" s="46" t="n">
        <v>3291</v>
      </c>
      <c r="B65" s="46" t="inlineStr">
        <is>
          <t>Zacarias Alves</t>
        </is>
      </c>
      <c r="C65" s="46" t="inlineStr">
        <is>
          <t>Ultimate</t>
        </is>
      </c>
      <c r="D65" s="47" t="n">
        <v>45408</v>
      </c>
      <c r="E65" s="46" t="inlineStr">
        <is>
          <t>No</t>
        </is>
      </c>
      <c r="F65" s="48" t="n">
        <v>15</v>
      </c>
      <c r="G65" s="46" t="inlineStr">
        <is>
          <t>Monthly</t>
        </is>
      </c>
      <c r="H65" s="46" t="inlineStr">
        <is>
          <t>Yes</t>
        </is>
      </c>
      <c r="I65" s="48" t="n">
        <v>30</v>
      </c>
      <c r="J65" s="46" t="inlineStr">
        <is>
          <t>Yes</t>
        </is>
      </c>
      <c r="K65" s="48" t="n">
        <v>20</v>
      </c>
      <c r="L65" s="48" t="n">
        <v>5</v>
      </c>
      <c r="M65" s="48" t="n">
        <v>60</v>
      </c>
      <c r="N65" s="48">
        <f>F65+I65+K65-L65</f>
        <v>60</v>
      </c>
      <c r="O65" s="46" t="str">
        <f>IF(ABS(M65-N65)&lt;0.001,"OK","REVIEW")</f>
        <v>OK</v>
      </c>
      <c r="P65" s="49">
        <f>DATE(YEAR(D65),MONTH(D65),1)</f>
        <v>45383</v>
      </c>
    </row>
    <row r="66" ht="19" customHeight="1">
      <c r="A66" s="50" t="n">
        <v>3292</v>
      </c>
      <c r="B66" s="50" t="inlineStr">
        <is>
          <t>Amanda Bynes</t>
        </is>
      </c>
      <c r="C66" s="50" t="inlineStr">
        <is>
          <t>Standard</t>
        </is>
      </c>
      <c r="D66" s="51" t="n">
        <v>45409</v>
      </c>
      <c r="E66" s="50" t="inlineStr">
        <is>
          <t>Yes</t>
        </is>
      </c>
      <c r="F66" s="52" t="n">
        <v>10</v>
      </c>
      <c r="G66" s="50" t="inlineStr">
        <is>
          <t>Annual</t>
        </is>
      </c>
      <c r="H66" s="50" t="inlineStr">
        <is>
          <t>No</t>
        </is>
      </c>
      <c r="I66" s="52" t="n">
        <v>0</v>
      </c>
      <c r="J66" s="50" t="inlineStr">
        <is>
          <t>Yes</t>
        </is>
      </c>
      <c r="K66" s="52" t="n">
        <v>20</v>
      </c>
      <c r="L66" s="52" t="n">
        <v>15</v>
      </c>
      <c r="M66" s="52" t="n">
        <v>15</v>
      </c>
      <c r="N66" s="52">
        <f>F66+I66+K66-L66</f>
        <v>15</v>
      </c>
      <c r="O66" s="50" t="str">
        <f>IF(ABS(M66-N66)&lt;0.001,"OK","REVIEW")</f>
        <v>OK</v>
      </c>
      <c r="P66" s="53">
        <f>DATE(YEAR(D66),MONTH(D66),1)</f>
        <v>45383</v>
      </c>
    </row>
    <row r="67" ht="19" customHeight="1">
      <c r="A67" s="46" t="n">
        <v>3293</v>
      </c>
      <c r="B67" s="46" t="inlineStr">
        <is>
          <t>Bruno Mars</t>
        </is>
      </c>
      <c r="C67" s="46" t="inlineStr">
        <is>
          <t>Core</t>
        </is>
      </c>
      <c r="D67" s="47" t="n">
        <v>45410</v>
      </c>
      <c r="E67" s="46" t="inlineStr">
        <is>
          <t>No</t>
        </is>
      </c>
      <c r="F67" s="48" t="n">
        <v>5</v>
      </c>
      <c r="G67" s="46" t="inlineStr">
        <is>
          <t>Monthly</t>
        </is>
      </c>
      <c r="H67" s="46" t="inlineStr">
        <is>
          <t>No</t>
        </is>
      </c>
      <c r="I67" s="48" t="n">
        <v>0</v>
      </c>
      <c r="J67" s="46" t="inlineStr">
        <is>
          <t>No</t>
        </is>
      </c>
      <c r="K67" s="48" t="n">
        <v>0</v>
      </c>
      <c r="L67" s="48" t="n">
        <v>1</v>
      </c>
      <c r="M67" s="48" t="n">
        <v>4</v>
      </c>
      <c r="N67" s="48">
        <f>F67+I67+K67-L67</f>
        <v>4</v>
      </c>
      <c r="O67" s="46" t="str">
        <f>IF(ABS(M67-N67)&lt;0.001,"OK","REVIEW")</f>
        <v>OK</v>
      </c>
      <c r="P67" s="49">
        <f>DATE(YEAR(D67),MONTH(D67),1)</f>
        <v>45383</v>
      </c>
    </row>
    <row r="68" ht="19" customHeight="1">
      <c r="A68" s="50" t="n">
        <v>3294</v>
      </c>
      <c r="B68" s="50" t="inlineStr">
        <is>
          <t>Carla Bruni</t>
        </is>
      </c>
      <c r="C68" s="50" t="inlineStr">
        <is>
          <t>Ultimate</t>
        </is>
      </c>
      <c r="D68" s="51" t="n">
        <v>45411</v>
      </c>
      <c r="E68" s="50" t="inlineStr">
        <is>
          <t>Yes</t>
        </is>
      </c>
      <c r="F68" s="52" t="n">
        <v>15</v>
      </c>
      <c r="G68" s="50" t="inlineStr">
        <is>
          <t>Quarterly</t>
        </is>
      </c>
      <c r="H68" s="50" t="inlineStr">
        <is>
          <t>Yes</t>
        </is>
      </c>
      <c r="I68" s="52" t="n">
        <v>30</v>
      </c>
      <c r="J68" s="50" t="inlineStr">
        <is>
          <t>Yes</t>
        </is>
      </c>
      <c r="K68" s="52" t="n">
        <v>20</v>
      </c>
      <c r="L68" s="52" t="n">
        <v>20</v>
      </c>
      <c r="M68" s="52" t="n">
        <v>45</v>
      </c>
      <c r="N68" s="52">
        <f>F68+I68+K68-L68</f>
        <v>45</v>
      </c>
      <c r="O68" s="50" t="str">
        <f>IF(ABS(M68-N68)&lt;0.001,"OK","REVIEW")</f>
        <v>OK</v>
      </c>
      <c r="P68" s="53">
        <f>DATE(YEAR(D68),MONTH(D68),1)</f>
        <v>45383</v>
      </c>
    </row>
    <row r="69" ht="19" customHeight="1">
      <c r="A69" s="46" t="n">
        <v>3295</v>
      </c>
      <c r="B69" s="46" t="inlineStr">
        <is>
          <t>Diego Maradona</t>
        </is>
      </c>
      <c r="C69" s="46" t="inlineStr">
        <is>
          <t>Standard</t>
        </is>
      </c>
      <c r="D69" s="47" t="n">
        <v>45412</v>
      </c>
      <c r="E69" s="46" t="inlineStr">
        <is>
          <t>No</t>
        </is>
      </c>
      <c r="F69" s="48" t="n">
        <v>10</v>
      </c>
      <c r="G69" s="46" t="inlineStr">
        <is>
          <t>Monthly</t>
        </is>
      </c>
      <c r="H69" s="46" t="inlineStr">
        <is>
          <t>No</t>
        </is>
      </c>
      <c r="I69" s="48" t="n">
        <v>0</v>
      </c>
      <c r="J69" s="46" t="inlineStr">
        <is>
          <t>Yes</t>
        </is>
      </c>
      <c r="K69" s="48" t="n">
        <v>20</v>
      </c>
      <c r="L69" s="48" t="n">
        <v>5</v>
      </c>
      <c r="M69" s="48" t="n">
        <v>25</v>
      </c>
      <c r="N69" s="48">
        <f>F69+I69+K69-L69</f>
        <v>25</v>
      </c>
      <c r="O69" s="46" t="str">
        <f>IF(ABS(M69-N69)&lt;0.001,"OK","REVIEW")</f>
        <v>OK</v>
      </c>
      <c r="P69" s="49">
        <f>DATE(YEAR(D69),MONTH(D69),1)</f>
        <v>45383</v>
      </c>
    </row>
    <row r="70" ht="19" customHeight="1">
      <c r="A70" s="50" t="n">
        <v>3296</v>
      </c>
      <c r="B70" s="50" t="inlineStr">
        <is>
          <t>Estela Marques</t>
        </is>
      </c>
      <c r="C70" s="50" t="inlineStr">
        <is>
          <t>Core</t>
        </is>
      </c>
      <c r="D70" s="51" t="n">
        <v>45413</v>
      </c>
      <c r="E70" s="50" t="inlineStr">
        <is>
          <t>No</t>
        </is>
      </c>
      <c r="F70" s="52" t="n">
        <v>5</v>
      </c>
      <c r="G70" s="50" t="inlineStr">
        <is>
          <t>Monthly</t>
        </is>
      </c>
      <c r="H70" s="50" t="inlineStr">
        <is>
          <t>No</t>
        </is>
      </c>
      <c r="I70" s="52" t="n">
        <v>0</v>
      </c>
      <c r="J70" s="50" t="inlineStr">
        <is>
          <t>No</t>
        </is>
      </c>
      <c r="K70" s="52" t="n">
        <v>0</v>
      </c>
      <c r="L70" s="52" t="n">
        <v>0</v>
      </c>
      <c r="M70" s="52" t="n">
        <v>5</v>
      </c>
      <c r="N70" s="52">
        <f>F70+I70+K70-L70</f>
        <v>5</v>
      </c>
      <c r="O70" s="50" t="str">
        <f>IF(ABS(M70-N70)&lt;0.001,"OK","REVIEW")</f>
        <v>OK</v>
      </c>
      <c r="P70" s="53">
        <f>DATE(YEAR(D70),MONTH(D70),1)</f>
        <v>45413</v>
      </c>
    </row>
    <row r="71" ht="19" customHeight="1">
      <c r="A71" s="46" t="n">
        <v>3297</v>
      </c>
      <c r="B71" s="46" t="inlineStr">
        <is>
          <t>Fábio Nobre</t>
        </is>
      </c>
      <c r="C71" s="46" t="inlineStr">
        <is>
          <t>Ultimate</t>
        </is>
      </c>
      <c r="D71" s="47" t="n">
        <v>45414</v>
      </c>
      <c r="E71" s="46" t="inlineStr">
        <is>
          <t>Yes</t>
        </is>
      </c>
      <c r="F71" s="48" t="n">
        <v>15</v>
      </c>
      <c r="G71" s="46" t="inlineStr">
        <is>
          <t>Quarterly</t>
        </is>
      </c>
      <c r="H71" s="46" t="inlineStr">
        <is>
          <t>Yes</t>
        </is>
      </c>
      <c r="I71" s="48" t="n">
        <v>30</v>
      </c>
      <c r="J71" s="46" t="inlineStr">
        <is>
          <t>Yes</t>
        </is>
      </c>
      <c r="K71" s="48" t="n">
        <v>20</v>
      </c>
      <c r="L71" s="48" t="n">
        <v>7</v>
      </c>
      <c r="M71" s="48" t="n">
        <v>58</v>
      </c>
      <c r="N71" s="48">
        <f>F71+I71+K71-L71</f>
        <v>58</v>
      </c>
      <c r="O71" s="46" t="str">
        <f>IF(ABS(M71-N71)&lt;0.001,"OK","REVIEW")</f>
        <v>OK</v>
      </c>
      <c r="P71" s="49">
        <f>DATE(YEAR(D71),MONTH(D71),1)</f>
        <v>45413</v>
      </c>
    </row>
    <row r="72" ht="19" customHeight="1">
      <c r="A72" s="50" t="n">
        <v>3298</v>
      </c>
      <c r="B72" s="50" t="inlineStr">
        <is>
          <t>Gabriel Oliveira</t>
        </is>
      </c>
      <c r="C72" s="50" t="inlineStr">
        <is>
          <t>Standard</t>
        </is>
      </c>
      <c r="D72" s="51" t="n">
        <v>45415</v>
      </c>
      <c r="E72" s="50" t="inlineStr">
        <is>
          <t>No</t>
        </is>
      </c>
      <c r="F72" s="52" t="n">
        <v>10</v>
      </c>
      <c r="G72" s="50" t="inlineStr">
        <is>
          <t>Annual</t>
        </is>
      </c>
      <c r="H72" s="50" t="inlineStr">
        <is>
          <t>No</t>
        </is>
      </c>
      <c r="I72" s="52" t="n">
        <v>0</v>
      </c>
      <c r="J72" s="50" t="inlineStr">
        <is>
          <t>Yes</t>
        </is>
      </c>
      <c r="K72" s="52" t="n">
        <v>20</v>
      </c>
      <c r="L72" s="52" t="n">
        <v>10</v>
      </c>
      <c r="M72" s="52" t="n">
        <v>20</v>
      </c>
      <c r="N72" s="52">
        <f>F72+I72+K72-L72</f>
        <v>20</v>
      </c>
      <c r="O72" s="50" t="str">
        <f>IF(ABS(M72-N72)&lt;0.001,"OK","REVIEW")</f>
        <v>OK</v>
      </c>
      <c r="P72" s="53">
        <f>DATE(YEAR(D72),MONTH(D72),1)</f>
        <v>45413</v>
      </c>
    </row>
    <row r="73" ht="19" customHeight="1">
      <c r="A73" s="46" t="n">
        <v>3299</v>
      </c>
      <c r="B73" s="46" t="inlineStr">
        <is>
          <t>Helena Santos</t>
        </is>
      </c>
      <c r="C73" s="46" t="inlineStr">
        <is>
          <t>Core</t>
        </is>
      </c>
      <c r="D73" s="47" t="n">
        <v>45416</v>
      </c>
      <c r="E73" s="46" t="inlineStr">
        <is>
          <t>Yes</t>
        </is>
      </c>
      <c r="F73" s="48" t="n">
        <v>5</v>
      </c>
      <c r="G73" s="46" t="inlineStr">
        <is>
          <t>Quarterly</t>
        </is>
      </c>
      <c r="H73" s="46" t="inlineStr">
        <is>
          <t>No</t>
        </is>
      </c>
      <c r="I73" s="48" t="n">
        <v>0</v>
      </c>
      <c r="J73" s="46" t="inlineStr">
        <is>
          <t>No</t>
        </is>
      </c>
      <c r="K73" s="48" t="n">
        <v>0</v>
      </c>
      <c r="L73" s="48" t="n">
        <v>1</v>
      </c>
      <c r="M73" s="48" t="n">
        <v>4</v>
      </c>
      <c r="N73" s="48">
        <f>F73+I73+K73-L73</f>
        <v>4</v>
      </c>
      <c r="O73" s="46" t="str">
        <f>IF(ABS(M73-N73)&lt;0.001,"OK","REVIEW")</f>
        <v>OK</v>
      </c>
      <c r="P73" s="49">
        <f>DATE(YEAR(D73),MONTH(D73),1)</f>
        <v>45413</v>
      </c>
    </row>
    <row r="74" ht="19" customHeight="1">
      <c r="A74" s="50" t="n">
        <v>3300</v>
      </c>
      <c r="B74" s="50" t="inlineStr">
        <is>
          <t>Ivan Carvalho</t>
        </is>
      </c>
      <c r="C74" s="50" t="inlineStr">
        <is>
          <t>Ultimate</t>
        </is>
      </c>
      <c r="D74" s="51" t="n">
        <v>45417</v>
      </c>
      <c r="E74" s="50" t="inlineStr">
        <is>
          <t>No</t>
        </is>
      </c>
      <c r="F74" s="52" t="n">
        <v>15</v>
      </c>
      <c r="G74" s="50" t="inlineStr">
        <is>
          <t>Monthly</t>
        </is>
      </c>
      <c r="H74" s="50" t="inlineStr">
        <is>
          <t>Yes</t>
        </is>
      </c>
      <c r="I74" s="52" t="n">
        <v>30</v>
      </c>
      <c r="J74" s="50" t="inlineStr">
        <is>
          <t>Yes</t>
        </is>
      </c>
      <c r="K74" s="52" t="n">
        <v>20</v>
      </c>
      <c r="L74" s="52" t="n">
        <v>15</v>
      </c>
      <c r="M74" s="52" t="n">
        <v>50</v>
      </c>
      <c r="N74" s="52">
        <f>F74+I74+K74-L74</f>
        <v>50</v>
      </c>
      <c r="O74" s="50" t="str">
        <f>IF(ABS(M74-N74)&lt;0.001,"OK","REVIEW")</f>
        <v>OK</v>
      </c>
      <c r="P74" s="53">
        <f>DATE(YEAR(D74),MONTH(D74),1)</f>
        <v>45413</v>
      </c>
    </row>
    <row r="75" ht="19" customHeight="1">
      <c r="A75" s="46" t="n">
        <v>3301</v>
      </c>
      <c r="B75" s="46" t="inlineStr">
        <is>
          <t>Júlia Ferreira</t>
        </is>
      </c>
      <c r="C75" s="46" t="inlineStr">
        <is>
          <t>Standard</t>
        </is>
      </c>
      <c r="D75" s="47" t="n">
        <v>45418</v>
      </c>
      <c r="E75" s="46" t="inlineStr">
        <is>
          <t>Yes</t>
        </is>
      </c>
      <c r="F75" s="48" t="n">
        <v>10</v>
      </c>
      <c r="G75" s="46" t="inlineStr">
        <is>
          <t>Monthly</t>
        </is>
      </c>
      <c r="H75" s="46" t="inlineStr">
        <is>
          <t>No</t>
        </is>
      </c>
      <c r="I75" s="48" t="n">
        <v>0</v>
      </c>
      <c r="J75" s="46" t="inlineStr">
        <is>
          <t>Yes</t>
        </is>
      </c>
      <c r="K75" s="48" t="n">
        <v>20</v>
      </c>
      <c r="L75" s="48" t="n">
        <v>5</v>
      </c>
      <c r="M75" s="48" t="n">
        <v>25</v>
      </c>
      <c r="N75" s="48">
        <f>F75+I75+K75-L75</f>
        <v>25</v>
      </c>
      <c r="O75" s="46" t="str">
        <f>IF(ABS(M75-N75)&lt;0.001,"OK","REVIEW")</f>
        <v>OK</v>
      </c>
      <c r="P75" s="49">
        <f>DATE(YEAR(D75),MONTH(D75),1)</f>
        <v>45413</v>
      </c>
    </row>
    <row r="76" ht="19" customHeight="1">
      <c r="A76" s="50" t="n">
        <v>3302</v>
      </c>
      <c r="B76" s="50" t="inlineStr">
        <is>
          <t>Karla Alves</t>
        </is>
      </c>
      <c r="C76" s="50" t="inlineStr">
        <is>
          <t>Core</t>
        </is>
      </c>
      <c r="D76" s="51" t="n">
        <v>45419</v>
      </c>
      <c r="E76" s="50" t="inlineStr">
        <is>
          <t>No</t>
        </is>
      </c>
      <c r="F76" s="52" t="n">
        <v>5</v>
      </c>
      <c r="G76" s="50" t="inlineStr">
        <is>
          <t>Annual</t>
        </is>
      </c>
      <c r="H76" s="50" t="inlineStr">
        <is>
          <t>No</t>
        </is>
      </c>
      <c r="I76" s="52" t="n">
        <v>0</v>
      </c>
      <c r="J76" s="50" t="inlineStr">
        <is>
          <t>No</t>
        </is>
      </c>
      <c r="K76" s="52" t="n">
        <v>0</v>
      </c>
      <c r="L76" s="52" t="n">
        <v>0</v>
      </c>
      <c r="M76" s="52" t="n">
        <v>5</v>
      </c>
      <c r="N76" s="52">
        <f>F76+I76+K76-L76</f>
        <v>5</v>
      </c>
      <c r="O76" s="50" t="str">
        <f>IF(ABS(M76-N76)&lt;0.001,"OK","REVIEW")</f>
        <v>OK</v>
      </c>
      <c r="P76" s="53">
        <f>DATE(YEAR(D76),MONTH(D76),1)</f>
        <v>45413</v>
      </c>
    </row>
    <row r="77" ht="19" customHeight="1">
      <c r="A77" s="46" t="n">
        <v>3303</v>
      </c>
      <c r="B77" s="46" t="inlineStr">
        <is>
          <t>Lucas Mendes</t>
        </is>
      </c>
      <c r="C77" s="46" t="inlineStr">
        <is>
          <t>Ultimate</t>
        </is>
      </c>
      <c r="D77" s="47" t="n">
        <v>45420</v>
      </c>
      <c r="E77" s="46" t="inlineStr">
        <is>
          <t>Yes</t>
        </is>
      </c>
      <c r="F77" s="48" t="n">
        <v>15</v>
      </c>
      <c r="G77" s="46" t="inlineStr">
        <is>
          <t>Quarterly</t>
        </is>
      </c>
      <c r="H77" s="46" t="inlineStr">
        <is>
          <t>Yes</t>
        </is>
      </c>
      <c r="I77" s="48" t="n">
        <v>30</v>
      </c>
      <c r="J77" s="46" t="inlineStr">
        <is>
          <t>Yes</t>
        </is>
      </c>
      <c r="K77" s="48" t="n">
        <v>20</v>
      </c>
      <c r="L77" s="48" t="n">
        <v>20</v>
      </c>
      <c r="M77" s="48" t="n">
        <v>45</v>
      </c>
      <c r="N77" s="48">
        <f>F77+I77+K77-L77</f>
        <v>45</v>
      </c>
      <c r="O77" s="46" t="str">
        <f>IF(ABS(M77-N77)&lt;0.001,"OK","REVIEW")</f>
        <v>OK</v>
      </c>
      <c r="P77" s="49">
        <f>DATE(YEAR(D77),MONTH(D77),1)</f>
        <v>45413</v>
      </c>
    </row>
    <row r="78" ht="19" customHeight="1">
      <c r="A78" s="50" t="n">
        <v>3304</v>
      </c>
      <c r="B78" s="50" t="inlineStr">
        <is>
          <t>Mônica Gomes</t>
        </is>
      </c>
      <c r="C78" s="50" t="inlineStr">
        <is>
          <t>Standard</t>
        </is>
      </c>
      <c r="D78" s="51" t="n">
        <v>45421</v>
      </c>
      <c r="E78" s="50" t="inlineStr">
        <is>
          <t>No</t>
        </is>
      </c>
      <c r="F78" s="52" t="n">
        <v>10</v>
      </c>
      <c r="G78" s="50" t="inlineStr">
        <is>
          <t>Quarterly</t>
        </is>
      </c>
      <c r="H78" s="50" t="inlineStr">
        <is>
          <t>No</t>
        </is>
      </c>
      <c r="I78" s="52" t="n">
        <v>0</v>
      </c>
      <c r="J78" s="50" t="inlineStr">
        <is>
          <t>Yes</t>
        </is>
      </c>
      <c r="K78" s="52" t="n">
        <v>20</v>
      </c>
      <c r="L78" s="52" t="n">
        <v>12</v>
      </c>
      <c r="M78" s="52" t="n">
        <v>18</v>
      </c>
      <c r="N78" s="52">
        <f>F78+I78+K78-L78</f>
        <v>18</v>
      </c>
      <c r="O78" s="50" t="str">
        <f>IF(ABS(M78-N78)&lt;0.001,"OK","REVIEW")</f>
        <v>OK</v>
      </c>
      <c r="P78" s="53">
        <f>DATE(YEAR(D78),MONTH(D78),1)</f>
        <v>45413</v>
      </c>
    </row>
    <row r="79" ht="19" customHeight="1">
      <c r="A79" s="46" t="n">
        <v>3305</v>
      </c>
      <c r="B79" s="46" t="inlineStr">
        <is>
          <t>Norberto Queiroz</t>
        </is>
      </c>
      <c r="C79" s="46" t="inlineStr">
        <is>
          <t>Core</t>
        </is>
      </c>
      <c r="D79" s="47" t="n">
        <v>45422</v>
      </c>
      <c r="E79" s="46" t="inlineStr">
        <is>
          <t>Yes</t>
        </is>
      </c>
      <c r="F79" s="48" t="n">
        <v>5</v>
      </c>
      <c r="G79" s="46" t="inlineStr">
        <is>
          <t>Monthly</t>
        </is>
      </c>
      <c r="H79" s="46" t="inlineStr">
        <is>
          <t>No</t>
        </is>
      </c>
      <c r="I79" s="48" t="n">
        <v>0</v>
      </c>
      <c r="J79" s="46" t="inlineStr">
        <is>
          <t>No</t>
        </is>
      </c>
      <c r="K79" s="48" t="n">
        <v>0</v>
      </c>
      <c r="L79" s="48" t="n">
        <v>2</v>
      </c>
      <c r="M79" s="48" t="n">
        <v>3</v>
      </c>
      <c r="N79" s="48">
        <f>F79+I79+K79-L79</f>
        <v>3</v>
      </c>
      <c r="O79" s="46" t="str">
        <f>IF(ABS(M79-N79)&lt;0.001,"OK","REVIEW")</f>
        <v>OK</v>
      </c>
      <c r="P79" s="49">
        <f>DATE(YEAR(D79),MONTH(D79),1)</f>
        <v>45413</v>
      </c>
    </row>
    <row r="80" ht="19" customHeight="1">
      <c r="A80" s="50" t="n">
        <v>3306</v>
      </c>
      <c r="B80" s="50" t="inlineStr">
        <is>
          <t>Otávio Barros</t>
        </is>
      </c>
      <c r="C80" s="50" t="inlineStr">
        <is>
          <t>Ultimate</t>
        </is>
      </c>
      <c r="D80" s="51" t="n">
        <v>45423</v>
      </c>
      <c r="E80" s="50" t="inlineStr">
        <is>
          <t>No</t>
        </is>
      </c>
      <c r="F80" s="52" t="n">
        <v>15</v>
      </c>
      <c r="G80" s="50" t="inlineStr">
        <is>
          <t>Annual</t>
        </is>
      </c>
      <c r="H80" s="50" t="inlineStr">
        <is>
          <t>Yes</t>
        </is>
      </c>
      <c r="I80" s="52" t="n">
        <v>30</v>
      </c>
      <c r="J80" s="50" t="inlineStr">
        <is>
          <t>Yes</t>
        </is>
      </c>
      <c r="K80" s="52" t="n">
        <v>20</v>
      </c>
      <c r="L80" s="52" t="n">
        <v>5</v>
      </c>
      <c r="M80" s="52" t="n">
        <v>60</v>
      </c>
      <c r="N80" s="52">
        <f>F80+I80+K80-L80</f>
        <v>60</v>
      </c>
      <c r="O80" s="50" t="str">
        <f>IF(ABS(M80-N80)&lt;0.001,"OK","REVIEW")</f>
        <v>OK</v>
      </c>
      <c r="P80" s="53">
        <f>DATE(YEAR(D80),MONTH(D80),1)</f>
        <v>45413</v>
      </c>
    </row>
    <row r="81" ht="19" customHeight="1">
      <c r="A81" s="46" t="n">
        <v>3307</v>
      </c>
      <c r="B81" s="46" t="inlineStr">
        <is>
          <t>Paula Vieira</t>
        </is>
      </c>
      <c r="C81" s="46" t="inlineStr">
        <is>
          <t>Standard</t>
        </is>
      </c>
      <c r="D81" s="47" t="n">
        <v>45424</v>
      </c>
      <c r="E81" s="46" t="inlineStr">
        <is>
          <t>Yes</t>
        </is>
      </c>
      <c r="F81" s="48" t="n">
        <v>10</v>
      </c>
      <c r="G81" s="46" t="inlineStr">
        <is>
          <t>Monthly</t>
        </is>
      </c>
      <c r="H81" s="46" t="inlineStr">
        <is>
          <t>No</t>
        </is>
      </c>
      <c r="I81" s="48" t="n">
        <v>0</v>
      </c>
      <c r="J81" s="46" t="inlineStr">
        <is>
          <t>Yes</t>
        </is>
      </c>
      <c r="K81" s="48" t="n">
        <v>20</v>
      </c>
      <c r="L81" s="48" t="n">
        <v>10</v>
      </c>
      <c r="M81" s="48" t="n">
        <v>20</v>
      </c>
      <c r="N81" s="48">
        <f>F81+I81+K81-L81</f>
        <v>20</v>
      </c>
      <c r="O81" s="46" t="str">
        <f>IF(ABS(M81-N81)&lt;0.001,"OK","REVIEW")</f>
        <v>OK</v>
      </c>
      <c r="P81" s="49">
        <f>DATE(YEAR(D81),MONTH(D81),1)</f>
        <v>45413</v>
      </c>
    </row>
    <row r="82" ht="19" customHeight="1">
      <c r="A82" s="50" t="n">
        <v>3308</v>
      </c>
      <c r="B82" s="50" t="inlineStr">
        <is>
          <t>Quentin Ramos</t>
        </is>
      </c>
      <c r="C82" s="50" t="inlineStr">
        <is>
          <t>Core</t>
        </is>
      </c>
      <c r="D82" s="51" t="n">
        <v>45425</v>
      </c>
      <c r="E82" s="50" t="inlineStr">
        <is>
          <t>No</t>
        </is>
      </c>
      <c r="F82" s="52" t="n">
        <v>5</v>
      </c>
      <c r="G82" s="50" t="inlineStr">
        <is>
          <t>Quarterly</t>
        </is>
      </c>
      <c r="H82" s="50" t="inlineStr">
        <is>
          <t>No</t>
        </is>
      </c>
      <c r="I82" s="52" t="n">
        <v>0</v>
      </c>
      <c r="J82" s="50" t="inlineStr">
        <is>
          <t>No</t>
        </is>
      </c>
      <c r="K82" s="52" t="n">
        <v>0</v>
      </c>
      <c r="L82" s="52" t="n">
        <v>0</v>
      </c>
      <c r="M82" s="52" t="n">
        <v>5</v>
      </c>
      <c r="N82" s="52">
        <f>F82+I82+K82-L82</f>
        <v>5</v>
      </c>
      <c r="O82" s="50" t="str">
        <f>IF(ABS(M82-N82)&lt;0.001,"OK","REVIEW")</f>
        <v>OK</v>
      </c>
      <c r="P82" s="53">
        <f>DATE(YEAR(D82),MONTH(D82),1)</f>
        <v>45413</v>
      </c>
    </row>
    <row r="83" ht="19" customHeight="1">
      <c r="A83" s="46" t="n">
        <v>3309</v>
      </c>
      <c r="B83" s="46" t="inlineStr">
        <is>
          <t>Raquel Novaes</t>
        </is>
      </c>
      <c r="C83" s="46" t="inlineStr">
        <is>
          <t>Ultimate</t>
        </is>
      </c>
      <c r="D83" s="47" t="n">
        <v>45426</v>
      </c>
      <c r="E83" s="46" t="inlineStr">
        <is>
          <t>Yes</t>
        </is>
      </c>
      <c r="F83" s="48" t="n">
        <v>15</v>
      </c>
      <c r="G83" s="46" t="inlineStr">
        <is>
          <t>Monthly</t>
        </is>
      </c>
      <c r="H83" s="46" t="inlineStr">
        <is>
          <t>Yes</t>
        </is>
      </c>
      <c r="I83" s="48" t="n">
        <v>30</v>
      </c>
      <c r="J83" s="46" t="inlineStr">
        <is>
          <t>Yes</t>
        </is>
      </c>
      <c r="K83" s="48" t="n">
        <v>20</v>
      </c>
      <c r="L83" s="48" t="n">
        <v>3</v>
      </c>
      <c r="M83" s="48" t="n">
        <v>62</v>
      </c>
      <c r="N83" s="48">
        <f>F83+I83+K83-L83</f>
        <v>62</v>
      </c>
      <c r="O83" s="46" t="str">
        <f>IF(ABS(M83-N83)&lt;0.001,"OK","REVIEW")</f>
        <v>OK</v>
      </c>
      <c r="P83" s="49">
        <f>DATE(YEAR(D83),MONTH(D83),1)</f>
        <v>45413</v>
      </c>
    </row>
    <row r="84" ht="19" customHeight="1">
      <c r="A84" s="50" t="n">
        <v>3310</v>
      </c>
      <c r="B84" s="50" t="inlineStr">
        <is>
          <t>Samantha Lopes</t>
        </is>
      </c>
      <c r="C84" s="50" t="inlineStr">
        <is>
          <t>Standard</t>
        </is>
      </c>
      <c r="D84" s="51" t="n">
        <v>45427</v>
      </c>
      <c r="E84" s="50" t="inlineStr">
        <is>
          <t>No</t>
        </is>
      </c>
      <c r="F84" s="52" t="n">
        <v>10</v>
      </c>
      <c r="G84" s="50" t="inlineStr">
        <is>
          <t>Annual</t>
        </is>
      </c>
      <c r="H84" s="50" t="inlineStr">
        <is>
          <t>No</t>
        </is>
      </c>
      <c r="I84" s="52" t="n">
        <v>0</v>
      </c>
      <c r="J84" s="50" t="inlineStr">
        <is>
          <t>Yes</t>
        </is>
      </c>
      <c r="K84" s="52" t="n">
        <v>20</v>
      </c>
      <c r="L84" s="52" t="n">
        <v>15</v>
      </c>
      <c r="M84" s="52" t="n">
        <v>15</v>
      </c>
      <c r="N84" s="52">
        <f>F84+I84+K84-L84</f>
        <v>15</v>
      </c>
      <c r="O84" s="50" t="str">
        <f>IF(ABS(M84-N84)&lt;0.001,"OK","REVIEW")</f>
        <v>OK</v>
      </c>
      <c r="P84" s="53">
        <f>DATE(YEAR(D84),MONTH(D84),1)</f>
        <v>45413</v>
      </c>
    </row>
    <row r="85" ht="19" customHeight="1">
      <c r="A85" s="46" t="n">
        <v>3311</v>
      </c>
      <c r="B85" s="46" t="inlineStr">
        <is>
          <t>Tiago Martins</t>
        </is>
      </c>
      <c r="C85" s="46" t="inlineStr">
        <is>
          <t>Core</t>
        </is>
      </c>
      <c r="D85" s="47" t="n">
        <v>45428</v>
      </c>
      <c r="E85" s="46" t="inlineStr">
        <is>
          <t>Yes</t>
        </is>
      </c>
      <c r="F85" s="48" t="n">
        <v>5</v>
      </c>
      <c r="G85" s="46" t="inlineStr">
        <is>
          <t>Monthly</t>
        </is>
      </c>
      <c r="H85" s="46" t="inlineStr">
        <is>
          <t>No</t>
        </is>
      </c>
      <c r="I85" s="48" t="n">
        <v>0</v>
      </c>
      <c r="J85" s="46" t="inlineStr">
        <is>
          <t>No</t>
        </is>
      </c>
      <c r="K85" s="48" t="n">
        <v>0</v>
      </c>
      <c r="L85" s="48" t="n">
        <v>1</v>
      </c>
      <c r="M85" s="48" t="n">
        <v>4</v>
      </c>
      <c r="N85" s="48">
        <f>F85+I85+K85-L85</f>
        <v>4</v>
      </c>
      <c r="O85" s="46" t="str">
        <f>IF(ABS(M85-N85)&lt;0.001,"OK","REVIEW")</f>
        <v>OK</v>
      </c>
      <c r="P85" s="49">
        <f>DATE(YEAR(D85),MONTH(D85),1)</f>
        <v>45413</v>
      </c>
    </row>
    <row r="86" ht="19" customHeight="1">
      <c r="A86" s="50" t="n">
        <v>3312</v>
      </c>
      <c r="B86" s="50" t="inlineStr">
        <is>
          <t>Ulysses Guimarães</t>
        </is>
      </c>
      <c r="C86" s="50" t="inlineStr">
        <is>
          <t>Ultimate</t>
        </is>
      </c>
      <c r="D86" s="51" t="n">
        <v>45429</v>
      </c>
      <c r="E86" s="50" t="inlineStr">
        <is>
          <t>No</t>
        </is>
      </c>
      <c r="F86" s="52" t="n">
        <v>15</v>
      </c>
      <c r="G86" s="50" t="inlineStr">
        <is>
          <t>Quarterly</t>
        </is>
      </c>
      <c r="H86" s="50" t="inlineStr">
        <is>
          <t>Yes</t>
        </is>
      </c>
      <c r="I86" s="52" t="n">
        <v>30</v>
      </c>
      <c r="J86" s="50" t="inlineStr">
        <is>
          <t>Yes</t>
        </is>
      </c>
      <c r="K86" s="52" t="n">
        <v>20</v>
      </c>
      <c r="L86" s="52" t="n">
        <v>7</v>
      </c>
      <c r="M86" s="52" t="n">
        <v>58</v>
      </c>
      <c r="N86" s="52">
        <f>F86+I86+K86-L86</f>
        <v>58</v>
      </c>
      <c r="O86" s="50" t="str">
        <f>IF(ABS(M86-N86)&lt;0.001,"OK","REVIEW")</f>
        <v>OK</v>
      </c>
      <c r="P86" s="53">
        <f>DATE(YEAR(D86),MONTH(D86),1)</f>
        <v>45413</v>
      </c>
    </row>
    <row r="87" ht="19" customHeight="1">
      <c r="A87" s="46" t="n">
        <v>3313</v>
      </c>
      <c r="B87" s="46" t="inlineStr">
        <is>
          <t>Vanessa Silva</t>
        </is>
      </c>
      <c r="C87" s="46" t="inlineStr">
        <is>
          <t>Standard</t>
        </is>
      </c>
      <c r="D87" s="47" t="n">
        <v>45430</v>
      </c>
      <c r="E87" s="46" t="inlineStr">
        <is>
          <t>Yes</t>
        </is>
      </c>
      <c r="F87" s="48" t="n">
        <v>10</v>
      </c>
      <c r="G87" s="46" t="inlineStr">
        <is>
          <t>Monthly</t>
        </is>
      </c>
      <c r="H87" s="46" t="inlineStr">
        <is>
          <t>No</t>
        </is>
      </c>
      <c r="I87" s="48" t="n">
        <v>0</v>
      </c>
      <c r="J87" s="46" t="inlineStr">
        <is>
          <t>Yes</t>
        </is>
      </c>
      <c r="K87" s="48" t="n">
        <v>20</v>
      </c>
      <c r="L87" s="48" t="n">
        <v>10</v>
      </c>
      <c r="M87" s="48" t="n">
        <v>20</v>
      </c>
      <c r="N87" s="48">
        <f>F87+I87+K87-L87</f>
        <v>20</v>
      </c>
      <c r="O87" s="46" t="str">
        <f>IF(ABS(M87-N87)&lt;0.001,"OK","REVIEW")</f>
        <v>OK</v>
      </c>
      <c r="P87" s="49">
        <f>DATE(YEAR(D87),MONTH(D87),1)</f>
        <v>45413</v>
      </c>
    </row>
    <row r="88" ht="19" customHeight="1">
      <c r="A88" s="50" t="n">
        <v>3314</v>
      </c>
      <c r="B88" s="50" t="inlineStr">
        <is>
          <t>William Carneiro</t>
        </is>
      </c>
      <c r="C88" s="50" t="inlineStr">
        <is>
          <t>Core</t>
        </is>
      </c>
      <c r="D88" s="51" t="n">
        <v>45431</v>
      </c>
      <c r="E88" s="50" t="inlineStr">
        <is>
          <t>No</t>
        </is>
      </c>
      <c r="F88" s="52" t="n">
        <v>5</v>
      </c>
      <c r="G88" s="50" t="inlineStr">
        <is>
          <t>Annual</t>
        </is>
      </c>
      <c r="H88" s="50" t="inlineStr">
        <is>
          <t>No</t>
        </is>
      </c>
      <c r="I88" s="52" t="n">
        <v>0</v>
      </c>
      <c r="J88" s="50" t="inlineStr">
        <is>
          <t>No</t>
        </is>
      </c>
      <c r="K88" s="52" t="n">
        <v>0</v>
      </c>
      <c r="L88" s="52" t="n">
        <v>0</v>
      </c>
      <c r="M88" s="52" t="n">
        <v>5</v>
      </c>
      <c r="N88" s="52">
        <f>F88+I88+K88-L88</f>
        <v>5</v>
      </c>
      <c r="O88" s="50" t="str">
        <f>IF(ABS(M88-N88)&lt;0.001,"OK","REVIEW")</f>
        <v>OK</v>
      </c>
      <c r="P88" s="53">
        <f>DATE(YEAR(D88),MONTH(D88),1)</f>
        <v>45413</v>
      </c>
    </row>
    <row r="89" ht="19" customHeight="1">
      <c r="A89" s="46" t="n">
        <v>3315</v>
      </c>
      <c r="B89" s="46" t="inlineStr">
        <is>
          <t>Ximena Rocha</t>
        </is>
      </c>
      <c r="C89" s="46" t="inlineStr">
        <is>
          <t>Ultimate</t>
        </is>
      </c>
      <c r="D89" s="47" t="n">
        <v>45432</v>
      </c>
      <c r="E89" s="46" t="inlineStr">
        <is>
          <t>Yes</t>
        </is>
      </c>
      <c r="F89" s="48" t="n">
        <v>15</v>
      </c>
      <c r="G89" s="46" t="inlineStr">
        <is>
          <t>Monthly</t>
        </is>
      </c>
      <c r="H89" s="46" t="inlineStr">
        <is>
          <t>Yes</t>
        </is>
      </c>
      <c r="I89" s="48" t="n">
        <v>30</v>
      </c>
      <c r="J89" s="46" t="inlineStr">
        <is>
          <t>Yes</t>
        </is>
      </c>
      <c r="K89" s="48" t="n">
        <v>20</v>
      </c>
      <c r="L89" s="48" t="n">
        <v>20</v>
      </c>
      <c r="M89" s="48" t="n">
        <v>45</v>
      </c>
      <c r="N89" s="48">
        <f>F89+I89+K89-L89</f>
        <v>45</v>
      </c>
      <c r="O89" s="46" t="str">
        <f>IF(ABS(M89-N89)&lt;0.001,"OK","REVIEW")</f>
        <v>OK</v>
      </c>
      <c r="P89" s="49">
        <f>DATE(YEAR(D89),MONTH(D89),1)</f>
        <v>45413</v>
      </c>
    </row>
    <row r="90" ht="19" customHeight="1">
      <c r="A90" s="50" t="n">
        <v>3316</v>
      </c>
      <c r="B90" s="50" t="inlineStr">
        <is>
          <t>Yasmin Figueiredo</t>
        </is>
      </c>
      <c r="C90" s="50" t="inlineStr">
        <is>
          <t>Standard</t>
        </is>
      </c>
      <c r="D90" s="51" t="n">
        <v>45433</v>
      </c>
      <c r="E90" s="50" t="inlineStr">
        <is>
          <t>No</t>
        </is>
      </c>
      <c r="F90" s="52" t="n">
        <v>10</v>
      </c>
      <c r="G90" s="50" t="inlineStr">
        <is>
          <t>Quarterly</t>
        </is>
      </c>
      <c r="H90" s="50" t="inlineStr">
        <is>
          <t>No</t>
        </is>
      </c>
      <c r="I90" s="52" t="n">
        <v>0</v>
      </c>
      <c r="J90" s="50" t="inlineStr">
        <is>
          <t>Yes</t>
        </is>
      </c>
      <c r="K90" s="52" t="n">
        <v>20</v>
      </c>
      <c r="L90" s="52" t="n">
        <v>15</v>
      </c>
      <c r="M90" s="52" t="n">
        <v>15</v>
      </c>
      <c r="N90" s="52">
        <f>F90+I90+K90-L90</f>
        <v>15</v>
      </c>
      <c r="O90" s="50" t="str">
        <f>IF(ABS(M90-N90)&lt;0.001,"OK","REVIEW")</f>
        <v>OK</v>
      </c>
      <c r="P90" s="53">
        <f>DATE(YEAR(D90),MONTH(D90),1)</f>
        <v>45413</v>
      </c>
    </row>
    <row r="91" ht="19" customHeight="1">
      <c r="A91" s="46" t="n">
        <v>3317</v>
      </c>
      <c r="B91" s="46" t="inlineStr">
        <is>
          <t>Zara Cunha</t>
        </is>
      </c>
      <c r="C91" s="46" t="inlineStr">
        <is>
          <t>Core</t>
        </is>
      </c>
      <c r="D91" s="47" t="n">
        <v>45434</v>
      </c>
      <c r="E91" s="46" t="inlineStr">
        <is>
          <t>Yes</t>
        </is>
      </c>
      <c r="F91" s="48" t="n">
        <v>5</v>
      </c>
      <c r="G91" s="46" t="inlineStr">
        <is>
          <t>Monthly</t>
        </is>
      </c>
      <c r="H91" s="46" t="inlineStr">
        <is>
          <t>No</t>
        </is>
      </c>
      <c r="I91" s="48" t="n">
        <v>0</v>
      </c>
      <c r="J91" s="46" t="inlineStr">
        <is>
          <t>No</t>
        </is>
      </c>
      <c r="K91" s="48" t="n">
        <v>0</v>
      </c>
      <c r="L91" s="48" t="n">
        <v>1</v>
      </c>
      <c r="M91" s="48" t="n">
        <v>4</v>
      </c>
      <c r="N91" s="48">
        <f>F91+I91+K91-L91</f>
        <v>4</v>
      </c>
      <c r="O91" s="46" t="str">
        <f>IF(ABS(M91-N91)&lt;0.001,"OK","REVIEW")</f>
        <v>OK</v>
      </c>
      <c r="P91" s="49">
        <f>DATE(YEAR(D91),MONTH(D91),1)</f>
        <v>45413</v>
      </c>
    </row>
    <row r="92" ht="19" customHeight="1">
      <c r="A92" s="50" t="n">
        <v>3318</v>
      </c>
      <c r="B92" s="50" t="inlineStr">
        <is>
          <t>Alan Teixeira</t>
        </is>
      </c>
      <c r="C92" s="50" t="inlineStr">
        <is>
          <t>Ultimate</t>
        </is>
      </c>
      <c r="D92" s="51" t="n">
        <v>45435</v>
      </c>
      <c r="E92" s="50" t="inlineStr">
        <is>
          <t>No</t>
        </is>
      </c>
      <c r="F92" s="52" t="n">
        <v>15</v>
      </c>
      <c r="G92" s="50" t="inlineStr">
        <is>
          <t>Annual</t>
        </is>
      </c>
      <c r="H92" s="50" t="inlineStr">
        <is>
          <t>Yes</t>
        </is>
      </c>
      <c r="I92" s="52" t="n">
        <v>30</v>
      </c>
      <c r="J92" s="50" t="inlineStr">
        <is>
          <t>Yes</t>
        </is>
      </c>
      <c r="K92" s="52" t="n">
        <v>20</v>
      </c>
      <c r="L92" s="52" t="n">
        <v>3</v>
      </c>
      <c r="M92" s="52" t="n">
        <v>62</v>
      </c>
      <c r="N92" s="52">
        <f>F92+I92+K92-L92</f>
        <v>62</v>
      </c>
      <c r="O92" s="50" t="str">
        <f>IF(ABS(M92-N92)&lt;0.001,"OK","REVIEW")</f>
        <v>OK</v>
      </c>
      <c r="P92" s="53">
        <f>DATE(YEAR(D92),MONTH(D92),1)</f>
        <v>45413</v>
      </c>
    </row>
    <row r="93" ht="19" customHeight="1">
      <c r="A93" s="46" t="n">
        <v>3319</v>
      </c>
      <c r="B93" s="46" t="inlineStr">
        <is>
          <t>Bárbara Oliveira</t>
        </is>
      </c>
      <c r="C93" s="46" t="inlineStr">
        <is>
          <t>Standard</t>
        </is>
      </c>
      <c r="D93" s="47" t="n">
        <v>45436</v>
      </c>
      <c r="E93" s="46" t="inlineStr">
        <is>
          <t>Yes</t>
        </is>
      </c>
      <c r="F93" s="48" t="n">
        <v>10</v>
      </c>
      <c r="G93" s="46" t="inlineStr">
        <is>
          <t>Monthly</t>
        </is>
      </c>
      <c r="H93" s="46" t="inlineStr">
        <is>
          <t>No</t>
        </is>
      </c>
      <c r="I93" s="48" t="n">
        <v>0</v>
      </c>
      <c r="J93" s="46" t="inlineStr">
        <is>
          <t>Yes</t>
        </is>
      </c>
      <c r="K93" s="48" t="n">
        <v>20</v>
      </c>
      <c r="L93" s="48" t="n">
        <v>10</v>
      </c>
      <c r="M93" s="48" t="n">
        <v>20</v>
      </c>
      <c r="N93" s="48">
        <f>F93+I93+K93-L93</f>
        <v>20</v>
      </c>
      <c r="O93" s="46" t="str">
        <f>IF(ABS(M93-N93)&lt;0.001,"OK","REVIEW")</f>
        <v>OK</v>
      </c>
      <c r="P93" s="49">
        <f>DATE(YEAR(D93),MONTH(D93),1)</f>
        <v>45413</v>
      </c>
    </row>
    <row r="94" ht="19" customHeight="1">
      <c r="A94" s="50" t="n">
        <v>3320</v>
      </c>
      <c r="B94" s="50" t="inlineStr">
        <is>
          <t>Carlos Junqueira</t>
        </is>
      </c>
      <c r="C94" s="50" t="inlineStr">
        <is>
          <t>Core</t>
        </is>
      </c>
      <c r="D94" s="51" t="n">
        <v>45437</v>
      </c>
      <c r="E94" s="50" t="inlineStr">
        <is>
          <t>No</t>
        </is>
      </c>
      <c r="F94" s="52" t="n">
        <v>5</v>
      </c>
      <c r="G94" s="50" t="inlineStr">
        <is>
          <t>Quarterly</t>
        </is>
      </c>
      <c r="H94" s="50" t="inlineStr">
        <is>
          <t>No</t>
        </is>
      </c>
      <c r="I94" s="52" t="n">
        <v>0</v>
      </c>
      <c r="J94" s="50" t="inlineStr">
        <is>
          <t>No</t>
        </is>
      </c>
      <c r="K94" s="52" t="n">
        <v>0</v>
      </c>
      <c r="L94" s="52" t="n">
        <v>0</v>
      </c>
      <c r="M94" s="52" t="n">
        <v>5</v>
      </c>
      <c r="N94" s="52">
        <f>F94+I94+K94-L94</f>
        <v>5</v>
      </c>
      <c r="O94" s="50" t="str">
        <f>IF(ABS(M94-N94)&lt;0.001,"OK","REVIEW")</f>
        <v>OK</v>
      </c>
      <c r="P94" s="53">
        <f>DATE(YEAR(D94),MONTH(D94),1)</f>
        <v>45413</v>
      </c>
    </row>
    <row r="95" ht="19" customHeight="1">
      <c r="A95" s="46" t="n">
        <v>3321</v>
      </c>
      <c r="B95" s="46" t="inlineStr">
        <is>
          <t>Daniela Moura</t>
        </is>
      </c>
      <c r="C95" s="46" t="inlineStr">
        <is>
          <t>Ultimate</t>
        </is>
      </c>
      <c r="D95" s="47" t="n">
        <v>45438</v>
      </c>
      <c r="E95" s="46" t="inlineStr">
        <is>
          <t>Yes</t>
        </is>
      </c>
      <c r="F95" s="48" t="n">
        <v>15</v>
      </c>
      <c r="G95" s="46" t="inlineStr">
        <is>
          <t>Monthly</t>
        </is>
      </c>
      <c r="H95" s="46" t="inlineStr">
        <is>
          <t>Yes</t>
        </is>
      </c>
      <c r="I95" s="48" t="n">
        <v>30</v>
      </c>
      <c r="J95" s="46" t="inlineStr">
        <is>
          <t>Yes</t>
        </is>
      </c>
      <c r="K95" s="48" t="n">
        <v>20</v>
      </c>
      <c r="L95" s="48" t="n">
        <v>5</v>
      </c>
      <c r="M95" s="48" t="n">
        <v>60</v>
      </c>
      <c r="N95" s="48">
        <f>F95+I95+K95-L95</f>
        <v>60</v>
      </c>
      <c r="O95" s="46" t="str">
        <f>IF(ABS(M95-N95)&lt;0.001,"OK","REVIEW")</f>
        <v>OK</v>
      </c>
      <c r="P95" s="49">
        <f>DATE(YEAR(D95),MONTH(D95),1)</f>
        <v>45413</v>
      </c>
    </row>
    <row r="96" ht="19" customHeight="1">
      <c r="A96" s="50" t="n">
        <v>3322</v>
      </c>
      <c r="B96" s="50" t="inlineStr">
        <is>
          <t>Eduardo Lima</t>
        </is>
      </c>
      <c r="C96" s="50" t="inlineStr">
        <is>
          <t>Standard</t>
        </is>
      </c>
      <c r="D96" s="51" t="n">
        <v>45439</v>
      </c>
      <c r="E96" s="50" t="inlineStr">
        <is>
          <t>No</t>
        </is>
      </c>
      <c r="F96" s="52" t="n">
        <v>10</v>
      </c>
      <c r="G96" s="50" t="inlineStr">
        <is>
          <t>Annual</t>
        </is>
      </c>
      <c r="H96" s="50" t="inlineStr">
        <is>
          <t>No</t>
        </is>
      </c>
      <c r="I96" s="52" t="n">
        <v>0</v>
      </c>
      <c r="J96" s="50" t="inlineStr">
        <is>
          <t>Yes</t>
        </is>
      </c>
      <c r="K96" s="52" t="n">
        <v>20</v>
      </c>
      <c r="L96" s="52" t="n">
        <v>15</v>
      </c>
      <c r="M96" s="52" t="n">
        <v>15</v>
      </c>
      <c r="N96" s="52">
        <f>F96+I96+K96-L96</f>
        <v>15</v>
      </c>
      <c r="O96" s="50" t="str">
        <f>IF(ABS(M96-N96)&lt;0.001,"OK","REVIEW")</f>
        <v>OK</v>
      </c>
      <c r="P96" s="53">
        <f>DATE(YEAR(D96),MONTH(D96),1)</f>
        <v>45413</v>
      </c>
    </row>
    <row r="97" ht="19" customHeight="1">
      <c r="A97" s="46" t="n">
        <v>3323</v>
      </c>
      <c r="B97" s="46" t="inlineStr">
        <is>
          <t>Fabiana Araújo</t>
        </is>
      </c>
      <c r="C97" s="46" t="inlineStr">
        <is>
          <t>Core</t>
        </is>
      </c>
      <c r="D97" s="47" t="n">
        <v>45440</v>
      </c>
      <c r="E97" s="46" t="inlineStr">
        <is>
          <t>Yes</t>
        </is>
      </c>
      <c r="F97" s="48" t="n">
        <v>5</v>
      </c>
      <c r="G97" s="46" t="inlineStr">
        <is>
          <t>Monthly</t>
        </is>
      </c>
      <c r="H97" s="46" t="inlineStr">
        <is>
          <t>No</t>
        </is>
      </c>
      <c r="I97" s="48" t="n">
        <v>0</v>
      </c>
      <c r="J97" s="46" t="inlineStr">
        <is>
          <t>No</t>
        </is>
      </c>
      <c r="K97" s="48" t="n">
        <v>0</v>
      </c>
      <c r="L97" s="48" t="n">
        <v>1</v>
      </c>
      <c r="M97" s="48" t="n">
        <v>4</v>
      </c>
      <c r="N97" s="48">
        <f>F97+I97+K97-L97</f>
        <v>4</v>
      </c>
      <c r="O97" s="46" t="str">
        <f>IF(ABS(M97-N97)&lt;0.001,"OK","REVIEW")</f>
        <v>OK</v>
      </c>
      <c r="P97" s="49">
        <f>DATE(YEAR(D97),MONTH(D97),1)</f>
        <v>45413</v>
      </c>
    </row>
    <row r="98" ht="19" customHeight="1">
      <c r="A98" s="50" t="n">
        <v>3324</v>
      </c>
      <c r="B98" s="50" t="inlineStr">
        <is>
          <t>Geraldo Ribeiro</t>
        </is>
      </c>
      <c r="C98" s="50" t="inlineStr">
        <is>
          <t>Ultimate</t>
        </is>
      </c>
      <c r="D98" s="51" t="n">
        <v>45441</v>
      </c>
      <c r="E98" s="50" t="inlineStr">
        <is>
          <t>No</t>
        </is>
      </c>
      <c r="F98" s="52" t="n">
        <v>15</v>
      </c>
      <c r="G98" s="50" t="inlineStr">
        <is>
          <t>Quarterly</t>
        </is>
      </c>
      <c r="H98" s="50" t="inlineStr">
        <is>
          <t>Yes</t>
        </is>
      </c>
      <c r="I98" s="52" t="n">
        <v>30</v>
      </c>
      <c r="J98" s="50" t="inlineStr">
        <is>
          <t>Yes</t>
        </is>
      </c>
      <c r="K98" s="52" t="n">
        <v>20</v>
      </c>
      <c r="L98" s="52" t="n">
        <v>20</v>
      </c>
      <c r="M98" s="52" t="n">
        <v>45</v>
      </c>
      <c r="N98" s="52">
        <f>F98+I98+K98-L98</f>
        <v>45</v>
      </c>
      <c r="O98" s="50" t="str">
        <f>IF(ABS(M98-N98)&lt;0.001,"OK","REVIEW")</f>
        <v>OK</v>
      </c>
      <c r="P98" s="53">
        <f>DATE(YEAR(D98),MONTH(D98),1)</f>
        <v>45413</v>
      </c>
    </row>
    <row r="99" ht="19" customHeight="1">
      <c r="A99" s="46" t="n">
        <v>3325</v>
      </c>
      <c r="B99" s="46" t="inlineStr">
        <is>
          <t>Héctor Vargas</t>
        </is>
      </c>
      <c r="C99" s="46" t="inlineStr">
        <is>
          <t>Standard</t>
        </is>
      </c>
      <c r="D99" s="47" t="n">
        <v>45442</v>
      </c>
      <c r="E99" s="46" t="inlineStr">
        <is>
          <t>Yes</t>
        </is>
      </c>
      <c r="F99" s="48" t="n">
        <v>10</v>
      </c>
      <c r="G99" s="46" t="inlineStr">
        <is>
          <t>Quarterly</t>
        </is>
      </c>
      <c r="H99" s="46" t="inlineStr">
        <is>
          <t>No</t>
        </is>
      </c>
      <c r="I99" s="48" t="n">
        <v>0</v>
      </c>
      <c r="J99" s="46" t="inlineStr">
        <is>
          <t>Yes</t>
        </is>
      </c>
      <c r="K99" s="48" t="n">
        <v>20</v>
      </c>
      <c r="L99" s="48" t="n">
        <v>15</v>
      </c>
      <c r="M99" s="48" t="n">
        <v>15</v>
      </c>
      <c r="N99" s="48">
        <f>F99+I99+K99-L99</f>
        <v>15</v>
      </c>
      <c r="O99" s="46" t="str">
        <f>IF(ABS(M99-N99)&lt;0.001,"OK","REVIEW")</f>
        <v>OK</v>
      </c>
      <c r="P99" s="49">
        <f>DATE(YEAR(D99),MONTH(D99),1)</f>
        <v>45413</v>
      </c>
    </row>
    <row r="100" ht="19" customHeight="1">
      <c r="A100" s="50" t="n">
        <v>3326</v>
      </c>
      <c r="B100" s="50" t="inlineStr">
        <is>
          <t>Isabela Fonseca</t>
        </is>
      </c>
      <c r="C100" s="50" t="inlineStr">
        <is>
          <t>Core</t>
        </is>
      </c>
      <c r="D100" s="51" t="n">
        <v>45443</v>
      </c>
      <c r="E100" s="50" t="inlineStr">
        <is>
          <t>No</t>
        </is>
      </c>
      <c r="F100" s="52" t="n">
        <v>5</v>
      </c>
      <c r="G100" s="50" t="inlineStr">
        <is>
          <t>Annual</t>
        </is>
      </c>
      <c r="H100" s="50" t="inlineStr">
        <is>
          <t>No</t>
        </is>
      </c>
      <c r="I100" s="52" t="n">
        <v>0</v>
      </c>
      <c r="J100" s="50" t="inlineStr">
        <is>
          <t>No</t>
        </is>
      </c>
      <c r="K100" s="52" t="n">
        <v>0</v>
      </c>
      <c r="L100" s="52" t="n">
        <v>0</v>
      </c>
      <c r="M100" s="52" t="n">
        <v>5</v>
      </c>
      <c r="N100" s="52">
        <f>F100+I100+K100-L100</f>
        <v>5</v>
      </c>
      <c r="O100" s="50" t="str">
        <f>IF(ABS(M100-N100)&lt;0.001,"OK","REVIEW")</f>
        <v>OK</v>
      </c>
      <c r="P100" s="53">
        <f>DATE(YEAR(D100),MONTH(D100),1)</f>
        <v>45413</v>
      </c>
    </row>
    <row r="101" ht="19" customHeight="1">
      <c r="A101" s="46" t="n">
        <v>3327</v>
      </c>
      <c r="B101" s="46" t="inlineStr">
        <is>
          <t>João Pedro Almeida</t>
        </is>
      </c>
      <c r="C101" s="46" t="inlineStr">
        <is>
          <t>Ultimate</t>
        </is>
      </c>
      <c r="D101" s="47" t="n">
        <v>45444</v>
      </c>
      <c r="E101" s="46" t="inlineStr">
        <is>
          <t>Yes</t>
        </is>
      </c>
      <c r="F101" s="48" t="n">
        <v>15</v>
      </c>
      <c r="G101" s="46" t="inlineStr">
        <is>
          <t>Monthly</t>
        </is>
      </c>
      <c r="H101" s="46" t="inlineStr">
        <is>
          <t>Yes</t>
        </is>
      </c>
      <c r="I101" s="48" t="n">
        <v>30</v>
      </c>
      <c r="J101" s="46" t="inlineStr">
        <is>
          <t>Yes</t>
        </is>
      </c>
      <c r="K101" s="48" t="n">
        <v>20</v>
      </c>
      <c r="L101" s="48" t="n">
        <v>7</v>
      </c>
      <c r="M101" s="48" t="n">
        <v>58</v>
      </c>
      <c r="N101" s="48">
        <f>F101+I101+K101-L101</f>
        <v>58</v>
      </c>
      <c r="O101" s="46" t="str">
        <f>IF(ABS(M101-N101)&lt;0.001,"OK","REVIEW")</f>
        <v>OK</v>
      </c>
      <c r="P101" s="49">
        <f>DATE(YEAR(D101),MONTH(D101),1)</f>
        <v>45444</v>
      </c>
    </row>
    <row r="102" ht="19" customHeight="1">
      <c r="A102" s="50" t="n">
        <v>3328</v>
      </c>
      <c r="B102" s="50" t="inlineStr">
        <is>
          <t>Klara Costa</t>
        </is>
      </c>
      <c r="C102" s="50" t="inlineStr">
        <is>
          <t>Standard</t>
        </is>
      </c>
      <c r="D102" s="51" t="n">
        <v>45445</v>
      </c>
      <c r="E102" s="50" t="inlineStr">
        <is>
          <t>No</t>
        </is>
      </c>
      <c r="F102" s="52" t="n">
        <v>10</v>
      </c>
      <c r="G102" s="50" t="inlineStr">
        <is>
          <t>Annual</t>
        </is>
      </c>
      <c r="H102" s="50" t="inlineStr">
        <is>
          <t>No</t>
        </is>
      </c>
      <c r="I102" s="52" t="n">
        <v>0</v>
      </c>
      <c r="J102" s="50" t="inlineStr">
        <is>
          <t>Yes</t>
        </is>
      </c>
      <c r="K102" s="52" t="n">
        <v>20</v>
      </c>
      <c r="L102" s="52" t="n">
        <v>10</v>
      </c>
      <c r="M102" s="52" t="n">
        <v>20</v>
      </c>
      <c r="N102" s="52">
        <f>F102+I102+K102-L102</f>
        <v>20</v>
      </c>
      <c r="O102" s="50" t="str">
        <f>IF(ABS(M102-N102)&lt;0.001,"OK","REVIEW")</f>
        <v>OK</v>
      </c>
      <c r="P102" s="53">
        <f>DATE(YEAR(D102),MONTH(D102),1)</f>
        <v>45444</v>
      </c>
    </row>
    <row r="103" ht="19" customHeight="1">
      <c r="A103" s="46" t="n">
        <v>3329</v>
      </c>
      <c r="B103" s="46" t="inlineStr">
        <is>
          <t>Luciana Mendes</t>
        </is>
      </c>
      <c r="C103" s="46" t="inlineStr">
        <is>
          <t>Core</t>
        </is>
      </c>
      <c r="D103" s="47" t="n">
        <v>45446</v>
      </c>
      <c r="E103" s="46" t="inlineStr">
        <is>
          <t>Yes</t>
        </is>
      </c>
      <c r="F103" s="48" t="n">
        <v>5</v>
      </c>
      <c r="G103" s="46" t="inlineStr">
        <is>
          <t>Quarterly</t>
        </is>
      </c>
      <c r="H103" s="46" t="inlineStr">
        <is>
          <t>No</t>
        </is>
      </c>
      <c r="I103" s="48" t="n">
        <v>0</v>
      </c>
      <c r="J103" s="46" t="inlineStr">
        <is>
          <t>No</t>
        </is>
      </c>
      <c r="K103" s="48" t="n">
        <v>0</v>
      </c>
      <c r="L103" s="48" t="n">
        <v>1</v>
      </c>
      <c r="M103" s="48" t="n">
        <v>4</v>
      </c>
      <c r="N103" s="48">
        <f>F103+I103+K103-L103</f>
        <v>4</v>
      </c>
      <c r="O103" s="46" t="str">
        <f>IF(ABS(M103-N103)&lt;0.001,"OK","REVIEW")</f>
        <v>OK</v>
      </c>
      <c r="P103" s="49">
        <f>DATE(YEAR(D103),MONTH(D103),1)</f>
        <v>45444</v>
      </c>
    </row>
    <row r="104" ht="19" customHeight="1">
      <c r="A104" s="50" t="n">
        <v>3330</v>
      </c>
      <c r="B104" s="50" t="inlineStr">
        <is>
          <t>Marcelo Gouveia</t>
        </is>
      </c>
      <c r="C104" s="50" t="inlineStr">
        <is>
          <t>Ultimate</t>
        </is>
      </c>
      <c r="D104" s="51" t="n">
        <v>45447</v>
      </c>
      <c r="E104" s="50" t="inlineStr">
        <is>
          <t>No</t>
        </is>
      </c>
      <c r="F104" s="52" t="n">
        <v>15</v>
      </c>
      <c r="G104" s="50" t="inlineStr">
        <is>
          <t>Monthly</t>
        </is>
      </c>
      <c r="H104" s="50" t="inlineStr">
        <is>
          <t>Yes</t>
        </is>
      </c>
      <c r="I104" s="52" t="n">
        <v>30</v>
      </c>
      <c r="J104" s="50" t="inlineStr">
        <is>
          <t>Yes</t>
        </is>
      </c>
      <c r="K104" s="52" t="n">
        <v>20</v>
      </c>
      <c r="L104" s="52" t="n">
        <v>15</v>
      </c>
      <c r="M104" s="52" t="n">
        <v>50</v>
      </c>
      <c r="N104" s="52">
        <f>F104+I104+K104-L104</f>
        <v>50</v>
      </c>
      <c r="O104" s="50" t="str">
        <f>IF(ABS(M104-N104)&lt;0.001,"OK","REVIEW")</f>
        <v>OK</v>
      </c>
      <c r="P104" s="53">
        <f>DATE(YEAR(D104),MONTH(D104),1)</f>
        <v>45444</v>
      </c>
    </row>
    <row r="105" ht="19" customHeight="1">
      <c r="A105" s="46" t="n">
        <v>3331</v>
      </c>
      <c r="B105" s="46" t="inlineStr">
        <is>
          <t>Nívea Borges</t>
        </is>
      </c>
      <c r="C105" s="46" t="inlineStr">
        <is>
          <t>Standard</t>
        </is>
      </c>
      <c r="D105" s="47" t="n">
        <v>45448</v>
      </c>
      <c r="E105" s="46" t="inlineStr">
        <is>
          <t>Yes</t>
        </is>
      </c>
      <c r="F105" s="48" t="n">
        <v>10</v>
      </c>
      <c r="G105" s="46" t="inlineStr">
        <is>
          <t>Monthly</t>
        </is>
      </c>
      <c r="H105" s="46" t="inlineStr">
        <is>
          <t>No</t>
        </is>
      </c>
      <c r="I105" s="48" t="n">
        <v>0</v>
      </c>
      <c r="J105" s="46" t="inlineStr">
        <is>
          <t>Yes</t>
        </is>
      </c>
      <c r="K105" s="48" t="n">
        <v>20</v>
      </c>
      <c r="L105" s="48" t="n">
        <v>5</v>
      </c>
      <c r="M105" s="48" t="n">
        <v>25</v>
      </c>
      <c r="N105" s="48">
        <f>F105+I105+K105-L105</f>
        <v>25</v>
      </c>
      <c r="O105" s="46" t="str">
        <f>IF(ABS(M105-N105)&lt;0.001,"OK","REVIEW")</f>
        <v>OK</v>
      </c>
      <c r="P105" s="49">
        <f>DATE(YEAR(D105),MONTH(D105),1)</f>
        <v>45444</v>
      </c>
    </row>
    <row r="106" ht="19" customHeight="1">
      <c r="A106" s="50" t="n">
        <v>3332</v>
      </c>
      <c r="B106" s="50" t="inlineStr">
        <is>
          <t>Oscar Nogueira</t>
        </is>
      </c>
      <c r="C106" s="50" t="inlineStr">
        <is>
          <t>Core</t>
        </is>
      </c>
      <c r="D106" s="51" t="n">
        <v>45449</v>
      </c>
      <c r="E106" s="50" t="inlineStr">
        <is>
          <t>No</t>
        </is>
      </c>
      <c r="F106" s="52" t="n">
        <v>5</v>
      </c>
      <c r="G106" s="50" t="inlineStr">
        <is>
          <t>Annual</t>
        </is>
      </c>
      <c r="H106" s="50" t="inlineStr">
        <is>
          <t>No</t>
        </is>
      </c>
      <c r="I106" s="52" t="n">
        <v>0</v>
      </c>
      <c r="J106" s="50" t="inlineStr">
        <is>
          <t>No</t>
        </is>
      </c>
      <c r="K106" s="52" t="n">
        <v>0</v>
      </c>
      <c r="L106" s="52" t="n">
        <v>0</v>
      </c>
      <c r="M106" s="52" t="n">
        <v>5</v>
      </c>
      <c r="N106" s="52">
        <f>F106+I106+K106-L106</f>
        <v>5</v>
      </c>
      <c r="O106" s="50" t="str">
        <f>IF(ABS(M106-N106)&lt;0.001,"OK","REVIEW")</f>
        <v>OK</v>
      </c>
      <c r="P106" s="53">
        <f>DATE(YEAR(D106),MONTH(D106),1)</f>
        <v>45444</v>
      </c>
    </row>
    <row r="107" ht="19" customHeight="1">
      <c r="A107" s="46" t="n">
        <v>3333</v>
      </c>
      <c r="B107" s="46" t="inlineStr">
        <is>
          <t>Patrícia Alves</t>
        </is>
      </c>
      <c r="C107" s="46" t="inlineStr">
        <is>
          <t>Ultimate</t>
        </is>
      </c>
      <c r="D107" s="47" t="n">
        <v>45450</v>
      </c>
      <c r="E107" s="46" t="inlineStr">
        <is>
          <t>Yes</t>
        </is>
      </c>
      <c r="F107" s="48" t="n">
        <v>15</v>
      </c>
      <c r="G107" s="46" t="inlineStr">
        <is>
          <t>Quarterly</t>
        </is>
      </c>
      <c r="H107" s="46" t="inlineStr">
        <is>
          <t>Yes</t>
        </is>
      </c>
      <c r="I107" s="48" t="n">
        <v>30</v>
      </c>
      <c r="J107" s="46" t="inlineStr">
        <is>
          <t>Yes</t>
        </is>
      </c>
      <c r="K107" s="48" t="n">
        <v>20</v>
      </c>
      <c r="L107" s="48" t="n">
        <v>20</v>
      </c>
      <c r="M107" s="48" t="n">
        <v>45</v>
      </c>
      <c r="N107" s="48">
        <f>F107+I107+K107-L107</f>
        <v>45</v>
      </c>
      <c r="O107" s="46" t="str">
        <f>IF(ABS(M107-N107)&lt;0.001,"OK","REVIEW")</f>
        <v>OK</v>
      </c>
      <c r="P107" s="49">
        <f>DATE(YEAR(D107),MONTH(D107),1)</f>
        <v>45444</v>
      </c>
    </row>
    <row r="108" ht="19" customHeight="1">
      <c r="A108" s="50" t="n">
        <v>3334</v>
      </c>
      <c r="B108" s="50" t="inlineStr">
        <is>
          <t>Rafaela Silva</t>
        </is>
      </c>
      <c r="C108" s="50" t="inlineStr">
        <is>
          <t>Standard</t>
        </is>
      </c>
      <c r="D108" s="51" t="n">
        <v>45451</v>
      </c>
      <c r="E108" s="50" t="inlineStr">
        <is>
          <t>No</t>
        </is>
      </c>
      <c r="F108" s="52" t="n">
        <v>10</v>
      </c>
      <c r="G108" s="50" t="inlineStr">
        <is>
          <t>Quarterly</t>
        </is>
      </c>
      <c r="H108" s="50" t="inlineStr">
        <is>
          <t>No</t>
        </is>
      </c>
      <c r="I108" s="52" t="n">
        <v>0</v>
      </c>
      <c r="J108" s="50" t="inlineStr">
        <is>
          <t>Yes</t>
        </is>
      </c>
      <c r="K108" s="52" t="n">
        <v>20</v>
      </c>
      <c r="L108" s="52" t="n">
        <v>12</v>
      </c>
      <c r="M108" s="52" t="n">
        <v>18</v>
      </c>
      <c r="N108" s="52">
        <f>F108+I108+K108-L108</f>
        <v>18</v>
      </c>
      <c r="O108" s="50" t="str">
        <f>IF(ABS(M108-N108)&lt;0.001,"OK","REVIEW")</f>
        <v>OK</v>
      </c>
      <c r="P108" s="53">
        <f>DATE(YEAR(D108),MONTH(D108),1)</f>
        <v>45444</v>
      </c>
    </row>
    <row r="109" ht="19" customHeight="1">
      <c r="A109" s="46" t="n">
        <v>3335</v>
      </c>
      <c r="B109" s="46" t="inlineStr">
        <is>
          <t>Samantha Moraes</t>
        </is>
      </c>
      <c r="C109" s="46" t="inlineStr">
        <is>
          <t>Core</t>
        </is>
      </c>
      <c r="D109" s="47" t="n">
        <v>45452</v>
      </c>
      <c r="E109" s="46" t="inlineStr">
        <is>
          <t>Yes</t>
        </is>
      </c>
      <c r="F109" s="48" t="n">
        <v>5</v>
      </c>
      <c r="G109" s="46" t="inlineStr">
        <is>
          <t>Monthly</t>
        </is>
      </c>
      <c r="H109" s="46" t="inlineStr">
        <is>
          <t>No</t>
        </is>
      </c>
      <c r="I109" s="48" t="n">
        <v>0</v>
      </c>
      <c r="J109" s="46" t="inlineStr">
        <is>
          <t>No</t>
        </is>
      </c>
      <c r="K109" s="48" t="n">
        <v>0</v>
      </c>
      <c r="L109" s="48" t="n">
        <v>2</v>
      </c>
      <c r="M109" s="48" t="n">
        <v>3</v>
      </c>
      <c r="N109" s="48">
        <f>F109+I109+K109-L109</f>
        <v>3</v>
      </c>
      <c r="O109" s="46" t="str">
        <f>IF(ABS(M109-N109)&lt;0.001,"OK","REVIEW")</f>
        <v>OK</v>
      </c>
      <c r="P109" s="49">
        <f>DATE(YEAR(D109),MONTH(D109),1)</f>
        <v>45444</v>
      </c>
    </row>
    <row r="110" ht="19" customHeight="1">
      <c r="A110" s="50" t="n">
        <v>3336</v>
      </c>
      <c r="B110" s="50" t="inlineStr">
        <is>
          <t>Tatiana Rocha</t>
        </is>
      </c>
      <c r="C110" s="50" t="inlineStr">
        <is>
          <t>Core</t>
        </is>
      </c>
      <c r="D110" s="51" t="n">
        <v>45453</v>
      </c>
      <c r="E110" s="50" t="inlineStr">
        <is>
          <t>Yes</t>
        </is>
      </c>
      <c r="F110" s="52" t="n">
        <v>5</v>
      </c>
      <c r="G110" s="50" t="inlineStr">
        <is>
          <t>Monthly</t>
        </is>
      </c>
      <c r="H110" s="50" t="inlineStr">
        <is>
          <t>No</t>
        </is>
      </c>
      <c r="I110" s="52" t="n">
        <v>0</v>
      </c>
      <c r="J110" s="50" t="inlineStr">
        <is>
          <t>No</t>
        </is>
      </c>
      <c r="K110" s="52" t="n">
        <v>0</v>
      </c>
      <c r="L110" s="52" t="n">
        <v>0</v>
      </c>
      <c r="M110" s="52" t="n">
        <v>5</v>
      </c>
      <c r="N110" s="52">
        <f>F110+I110+K110-L110</f>
        <v>5</v>
      </c>
      <c r="O110" s="50" t="str">
        <f>IF(ABS(M110-N110)&lt;0.001,"OK","REVIEW")</f>
        <v>OK</v>
      </c>
      <c r="P110" s="53">
        <f>DATE(YEAR(D110),MONTH(D110),1)</f>
        <v>45444</v>
      </c>
    </row>
    <row r="111" ht="19" customHeight="1">
      <c r="A111" s="46" t="n">
        <v>3337</v>
      </c>
      <c r="B111" s="46" t="inlineStr">
        <is>
          <t>Ulisses Tavares</t>
        </is>
      </c>
      <c r="C111" s="46" t="inlineStr">
        <is>
          <t>Ultimate</t>
        </is>
      </c>
      <c r="D111" s="47" t="n">
        <v>45454</v>
      </c>
      <c r="E111" s="46" t="inlineStr">
        <is>
          <t>No</t>
        </is>
      </c>
      <c r="F111" s="48" t="n">
        <v>15</v>
      </c>
      <c r="G111" s="46" t="inlineStr">
        <is>
          <t>Quarterly</t>
        </is>
      </c>
      <c r="H111" s="46" t="inlineStr">
        <is>
          <t>Yes</t>
        </is>
      </c>
      <c r="I111" s="48" t="n">
        <v>30</v>
      </c>
      <c r="J111" s="46" t="inlineStr">
        <is>
          <t>Yes</t>
        </is>
      </c>
      <c r="K111" s="48" t="n">
        <v>20</v>
      </c>
      <c r="L111" s="48" t="n">
        <v>7</v>
      </c>
      <c r="M111" s="48" t="n">
        <v>58</v>
      </c>
      <c r="N111" s="48">
        <f>F111+I111+K111-L111</f>
        <v>58</v>
      </c>
      <c r="O111" s="46" t="str">
        <f>IF(ABS(M111-N111)&lt;0.001,"OK","REVIEW")</f>
        <v>OK</v>
      </c>
      <c r="P111" s="49">
        <f>DATE(YEAR(D111),MONTH(D111),1)</f>
        <v>45444</v>
      </c>
    </row>
    <row r="112" ht="19" customHeight="1">
      <c r="A112" s="50" t="n">
        <v>3338</v>
      </c>
      <c r="B112" s="50" t="inlineStr">
        <is>
          <t>Víctor Lemos</t>
        </is>
      </c>
      <c r="C112" s="50" t="inlineStr">
        <is>
          <t>Standard</t>
        </is>
      </c>
      <c r="D112" s="51" t="n">
        <v>45455</v>
      </c>
      <c r="E112" s="50" t="inlineStr">
        <is>
          <t>Yes</t>
        </is>
      </c>
      <c r="F112" s="52" t="n">
        <v>10</v>
      </c>
      <c r="G112" s="50" t="inlineStr">
        <is>
          <t>Annual</t>
        </is>
      </c>
      <c r="H112" s="50" t="inlineStr">
        <is>
          <t>No</t>
        </is>
      </c>
      <c r="I112" s="52" t="n">
        <v>0</v>
      </c>
      <c r="J112" s="50" t="inlineStr">
        <is>
          <t>Yes</t>
        </is>
      </c>
      <c r="K112" s="52" t="n">
        <v>20</v>
      </c>
      <c r="L112" s="52" t="n">
        <v>10</v>
      </c>
      <c r="M112" s="52" t="n">
        <v>20</v>
      </c>
      <c r="N112" s="52">
        <f>F112+I112+K112-L112</f>
        <v>20</v>
      </c>
      <c r="O112" s="50" t="str">
        <f>IF(ABS(M112-N112)&lt;0.001,"OK","REVIEW")</f>
        <v>OK</v>
      </c>
      <c r="P112" s="53">
        <f>DATE(YEAR(D112),MONTH(D112),1)</f>
        <v>45444</v>
      </c>
    </row>
    <row r="113" ht="19" customHeight="1">
      <c r="A113" s="46" t="n">
        <v>3339</v>
      </c>
      <c r="B113" s="46" t="inlineStr">
        <is>
          <t>Wilma Barros</t>
        </is>
      </c>
      <c r="C113" s="46" t="inlineStr">
        <is>
          <t>Core</t>
        </is>
      </c>
      <c r="D113" s="47" t="n">
        <v>45456</v>
      </c>
      <c r="E113" s="46" t="inlineStr">
        <is>
          <t>No</t>
        </is>
      </c>
      <c r="F113" s="48" t="n">
        <v>5</v>
      </c>
      <c r="G113" s="46" t="inlineStr">
        <is>
          <t>Quarterly</t>
        </is>
      </c>
      <c r="H113" s="46" t="inlineStr">
        <is>
          <t>No</t>
        </is>
      </c>
      <c r="I113" s="48" t="n">
        <v>0</v>
      </c>
      <c r="J113" s="46" t="inlineStr">
        <is>
          <t>No</t>
        </is>
      </c>
      <c r="K113" s="48" t="n">
        <v>0</v>
      </c>
      <c r="L113" s="48" t="n">
        <v>1</v>
      </c>
      <c r="M113" s="48" t="n">
        <v>4</v>
      </c>
      <c r="N113" s="48">
        <f>F113+I113+K113-L113</f>
        <v>4</v>
      </c>
      <c r="O113" s="46" t="str">
        <f>IF(ABS(M113-N113)&lt;0.001,"OK","REVIEW")</f>
        <v>OK</v>
      </c>
      <c r="P113" s="49">
        <f>DATE(YEAR(D113),MONTH(D113),1)</f>
        <v>45444</v>
      </c>
    </row>
    <row r="114" ht="19" customHeight="1">
      <c r="A114" s="50" t="n">
        <v>3340</v>
      </c>
      <c r="B114" s="50" t="inlineStr">
        <is>
          <t>Xavier Nascimento</t>
        </is>
      </c>
      <c r="C114" s="50" t="inlineStr">
        <is>
          <t>Ultimate</t>
        </is>
      </c>
      <c r="D114" s="51" t="n">
        <v>45457</v>
      </c>
      <c r="E114" s="50" t="inlineStr">
        <is>
          <t>Yes</t>
        </is>
      </c>
      <c r="F114" s="52" t="n">
        <v>15</v>
      </c>
      <c r="G114" s="50" t="inlineStr">
        <is>
          <t>Monthly</t>
        </is>
      </c>
      <c r="H114" s="50" t="inlineStr">
        <is>
          <t>Yes</t>
        </is>
      </c>
      <c r="I114" s="52" t="n">
        <v>30</v>
      </c>
      <c r="J114" s="50" t="inlineStr">
        <is>
          <t>Yes</t>
        </is>
      </c>
      <c r="K114" s="52" t="n">
        <v>20</v>
      </c>
      <c r="L114" s="52" t="n">
        <v>15</v>
      </c>
      <c r="M114" s="52" t="n">
        <v>50</v>
      </c>
      <c r="N114" s="52">
        <f>F114+I114+K114-L114</f>
        <v>50</v>
      </c>
      <c r="O114" s="50" t="str">
        <f>IF(ABS(M114-N114)&lt;0.001,"OK","REVIEW")</f>
        <v>OK</v>
      </c>
      <c r="P114" s="53">
        <f>DATE(YEAR(D114),MONTH(D114),1)</f>
        <v>45444</v>
      </c>
    </row>
    <row r="115" ht="19" customHeight="1">
      <c r="A115" s="46" t="n">
        <v>3341</v>
      </c>
      <c r="B115" s="46" t="inlineStr">
        <is>
          <t>Yago Pereira</t>
        </is>
      </c>
      <c r="C115" s="46" t="inlineStr">
        <is>
          <t>Standard</t>
        </is>
      </c>
      <c r="D115" s="47" t="n">
        <v>45458</v>
      </c>
      <c r="E115" s="46" t="inlineStr">
        <is>
          <t>No</t>
        </is>
      </c>
      <c r="F115" s="48" t="n">
        <v>10</v>
      </c>
      <c r="G115" s="46" t="inlineStr">
        <is>
          <t>Monthly</t>
        </is>
      </c>
      <c r="H115" s="46" t="inlineStr">
        <is>
          <t>No</t>
        </is>
      </c>
      <c r="I115" s="48" t="n">
        <v>0</v>
      </c>
      <c r="J115" s="46" t="inlineStr">
        <is>
          <t>Yes</t>
        </is>
      </c>
      <c r="K115" s="48" t="n">
        <v>20</v>
      </c>
      <c r="L115" s="48" t="n">
        <v>5</v>
      </c>
      <c r="M115" s="48" t="n">
        <v>25</v>
      </c>
      <c r="N115" s="48">
        <f>F115+I115+K115-L115</f>
        <v>25</v>
      </c>
      <c r="O115" s="46" t="str">
        <f>IF(ABS(M115-N115)&lt;0.001,"OK","REVIEW")</f>
        <v>OK</v>
      </c>
      <c r="P115" s="49">
        <f>DATE(YEAR(D115),MONTH(D115),1)</f>
        <v>45444</v>
      </c>
    </row>
    <row r="116" ht="19" customHeight="1">
      <c r="A116" s="50" t="n">
        <v>3342</v>
      </c>
      <c r="B116" s="50" t="inlineStr">
        <is>
          <t>Zilda Ferreira</t>
        </is>
      </c>
      <c r="C116" s="50" t="inlineStr">
        <is>
          <t>Core</t>
        </is>
      </c>
      <c r="D116" s="51" t="n">
        <v>45459</v>
      </c>
      <c r="E116" s="50" t="inlineStr">
        <is>
          <t>Yes</t>
        </is>
      </c>
      <c r="F116" s="52" t="n">
        <v>5</v>
      </c>
      <c r="G116" s="50" t="inlineStr">
        <is>
          <t>Annual</t>
        </is>
      </c>
      <c r="H116" s="50" t="inlineStr">
        <is>
          <t>No</t>
        </is>
      </c>
      <c r="I116" s="52" t="n">
        <v>0</v>
      </c>
      <c r="J116" s="50" t="inlineStr">
        <is>
          <t>No</t>
        </is>
      </c>
      <c r="K116" s="52" t="n">
        <v>0</v>
      </c>
      <c r="L116" s="52" t="n">
        <v>0</v>
      </c>
      <c r="M116" s="52" t="n">
        <v>5</v>
      </c>
      <c r="N116" s="52">
        <f>F116+I116+K116-L116</f>
        <v>5</v>
      </c>
      <c r="O116" s="50" t="str">
        <f>IF(ABS(M116-N116)&lt;0.001,"OK","REVIEW")</f>
        <v>OK</v>
      </c>
      <c r="P116" s="53">
        <f>DATE(YEAR(D116),MONTH(D116),1)</f>
        <v>45444</v>
      </c>
    </row>
    <row r="117" ht="19" customHeight="1">
      <c r="A117" s="46" t="n">
        <v>3343</v>
      </c>
      <c r="B117" s="46" t="inlineStr">
        <is>
          <t>Amanda Lopes</t>
        </is>
      </c>
      <c r="C117" s="46" t="inlineStr">
        <is>
          <t>Ultimate</t>
        </is>
      </c>
      <c r="D117" s="47" t="n">
        <v>45460</v>
      </c>
      <c r="E117" s="46" t="inlineStr">
        <is>
          <t>No</t>
        </is>
      </c>
      <c r="F117" s="48" t="n">
        <v>15</v>
      </c>
      <c r="G117" s="46" t="inlineStr">
        <is>
          <t>Quarterly</t>
        </is>
      </c>
      <c r="H117" s="46" t="inlineStr">
        <is>
          <t>Yes</t>
        </is>
      </c>
      <c r="I117" s="48" t="n">
        <v>30</v>
      </c>
      <c r="J117" s="46" t="inlineStr">
        <is>
          <t>Yes</t>
        </is>
      </c>
      <c r="K117" s="48" t="n">
        <v>20</v>
      </c>
      <c r="L117" s="48" t="n">
        <v>20</v>
      </c>
      <c r="M117" s="48" t="n">
        <v>45</v>
      </c>
      <c r="N117" s="48">
        <f>F117+I117+K117-L117</f>
        <v>45</v>
      </c>
      <c r="O117" s="46" t="str">
        <f>IF(ABS(M117-N117)&lt;0.001,"OK","REVIEW")</f>
        <v>OK</v>
      </c>
      <c r="P117" s="49">
        <f>DATE(YEAR(D117),MONTH(D117),1)</f>
        <v>45444</v>
      </c>
    </row>
    <row r="118" ht="19" customHeight="1">
      <c r="A118" s="50" t="n">
        <v>3344</v>
      </c>
      <c r="B118" s="50" t="inlineStr">
        <is>
          <t>Bruno Miranda</t>
        </is>
      </c>
      <c r="C118" s="50" t="inlineStr">
        <is>
          <t>Standard</t>
        </is>
      </c>
      <c r="D118" s="51" t="n">
        <v>45461</v>
      </c>
      <c r="E118" s="50" t="inlineStr">
        <is>
          <t>Yes</t>
        </is>
      </c>
      <c r="F118" s="52" t="n">
        <v>10</v>
      </c>
      <c r="G118" s="50" t="inlineStr">
        <is>
          <t>Quarterly</t>
        </is>
      </c>
      <c r="H118" s="50" t="inlineStr">
        <is>
          <t>No</t>
        </is>
      </c>
      <c r="I118" s="52" t="n">
        <v>0</v>
      </c>
      <c r="J118" s="50" t="inlineStr">
        <is>
          <t>Yes</t>
        </is>
      </c>
      <c r="K118" s="52" t="n">
        <v>20</v>
      </c>
      <c r="L118" s="52" t="n">
        <v>12</v>
      </c>
      <c r="M118" s="52" t="n">
        <v>18</v>
      </c>
      <c r="N118" s="52">
        <f>F118+I118+K118-L118</f>
        <v>18</v>
      </c>
      <c r="O118" s="50" t="str">
        <f>IF(ABS(M118-N118)&lt;0.001,"OK","REVIEW")</f>
        <v>OK</v>
      </c>
      <c r="P118" s="53">
        <f>DATE(YEAR(D118),MONTH(D118),1)</f>
        <v>45444</v>
      </c>
    </row>
    <row r="119" ht="19" customHeight="1">
      <c r="A119" s="46" t="n">
        <v>3345</v>
      </c>
      <c r="B119" s="46" t="inlineStr">
        <is>
          <t>Célia Torres</t>
        </is>
      </c>
      <c r="C119" s="46" t="inlineStr">
        <is>
          <t>Core</t>
        </is>
      </c>
      <c r="D119" s="47" t="n">
        <v>45462</v>
      </c>
      <c r="E119" s="46" t="inlineStr">
        <is>
          <t>No</t>
        </is>
      </c>
      <c r="F119" s="48" t="n">
        <v>5</v>
      </c>
      <c r="G119" s="46" t="inlineStr">
        <is>
          <t>Monthly</t>
        </is>
      </c>
      <c r="H119" s="46" t="inlineStr">
        <is>
          <t>No</t>
        </is>
      </c>
      <c r="I119" s="48" t="n">
        <v>0</v>
      </c>
      <c r="J119" s="46" t="inlineStr">
        <is>
          <t>No</t>
        </is>
      </c>
      <c r="K119" s="48" t="n">
        <v>0</v>
      </c>
      <c r="L119" s="48" t="n">
        <v>2</v>
      </c>
      <c r="M119" s="48" t="n">
        <v>3</v>
      </c>
      <c r="N119" s="48">
        <f>F119+I119+K119-L119</f>
        <v>3</v>
      </c>
      <c r="O119" s="46" t="str">
        <f>IF(ABS(M119-N119)&lt;0.001,"OK","REVIEW")</f>
        <v>OK</v>
      </c>
      <c r="P119" s="49">
        <f>DATE(YEAR(D119),MONTH(D119),1)</f>
        <v>45444</v>
      </c>
    </row>
    <row r="120" ht="19" customHeight="1">
      <c r="A120" s="50" t="n">
        <v>3346</v>
      </c>
      <c r="B120" s="50" t="inlineStr">
        <is>
          <t>Diogo Souza</t>
        </is>
      </c>
      <c r="C120" s="50" t="inlineStr">
        <is>
          <t>Ultimate</t>
        </is>
      </c>
      <c r="D120" s="51" t="n">
        <v>45463</v>
      </c>
      <c r="E120" s="50" t="inlineStr">
        <is>
          <t>Yes</t>
        </is>
      </c>
      <c r="F120" s="52" t="n">
        <v>15</v>
      </c>
      <c r="G120" s="50" t="inlineStr">
        <is>
          <t>Annual</t>
        </is>
      </c>
      <c r="H120" s="50" t="inlineStr">
        <is>
          <t>Yes</t>
        </is>
      </c>
      <c r="I120" s="52" t="n">
        <v>30</v>
      </c>
      <c r="J120" s="50" t="inlineStr">
        <is>
          <t>Yes</t>
        </is>
      </c>
      <c r="K120" s="52" t="n">
        <v>20</v>
      </c>
      <c r="L120" s="52" t="n">
        <v>5</v>
      </c>
      <c r="M120" s="52" t="n">
        <v>60</v>
      </c>
      <c r="N120" s="52">
        <f>F120+I120+K120-L120</f>
        <v>60</v>
      </c>
      <c r="O120" s="50" t="str">
        <f>IF(ABS(M120-N120)&lt;0.001,"OK","REVIEW")</f>
        <v>OK</v>
      </c>
      <c r="P120" s="53">
        <f>DATE(YEAR(D120),MONTH(D120),1)</f>
        <v>45444</v>
      </c>
    </row>
    <row r="121" ht="19" customHeight="1">
      <c r="A121" s="46" t="n">
        <v>3347</v>
      </c>
      <c r="B121" s="46" t="inlineStr">
        <is>
          <t>Elisa Castro</t>
        </is>
      </c>
      <c r="C121" s="46" t="inlineStr">
        <is>
          <t>Standard</t>
        </is>
      </c>
      <c r="D121" s="47" t="n">
        <v>45464</v>
      </c>
      <c r="E121" s="46" t="inlineStr">
        <is>
          <t>No</t>
        </is>
      </c>
      <c r="F121" s="48" t="n">
        <v>10</v>
      </c>
      <c r="G121" s="46" t="inlineStr">
        <is>
          <t>Monthly</t>
        </is>
      </c>
      <c r="H121" s="46" t="inlineStr">
        <is>
          <t>No</t>
        </is>
      </c>
      <c r="I121" s="48" t="n">
        <v>0</v>
      </c>
      <c r="J121" s="46" t="inlineStr">
        <is>
          <t>Yes</t>
        </is>
      </c>
      <c r="K121" s="48" t="n">
        <v>20</v>
      </c>
      <c r="L121" s="48" t="n">
        <v>10</v>
      </c>
      <c r="M121" s="48" t="n">
        <v>20</v>
      </c>
      <c r="N121" s="48">
        <f>F121+I121+K121-L121</f>
        <v>20</v>
      </c>
      <c r="O121" s="46" t="str">
        <f>IF(ABS(M121-N121)&lt;0.001,"OK","REVIEW")</f>
        <v>OK</v>
      </c>
      <c r="P121" s="49">
        <f>DATE(YEAR(D121),MONTH(D121),1)</f>
        <v>45444</v>
      </c>
    </row>
    <row r="122" ht="19" customHeight="1">
      <c r="A122" s="50" t="n">
        <v>3348</v>
      </c>
      <c r="B122" s="50" t="inlineStr">
        <is>
          <t>Fátima Lima</t>
        </is>
      </c>
      <c r="C122" s="50" t="inlineStr">
        <is>
          <t>Core</t>
        </is>
      </c>
      <c r="D122" s="51" t="n">
        <v>45465</v>
      </c>
      <c r="E122" s="50" t="inlineStr">
        <is>
          <t>Yes</t>
        </is>
      </c>
      <c r="F122" s="52" t="n">
        <v>5</v>
      </c>
      <c r="G122" s="50" t="inlineStr">
        <is>
          <t>Quarterly</t>
        </is>
      </c>
      <c r="H122" s="50" t="inlineStr">
        <is>
          <t>No</t>
        </is>
      </c>
      <c r="I122" s="52" t="n">
        <v>0</v>
      </c>
      <c r="J122" s="50" t="inlineStr">
        <is>
          <t>No</t>
        </is>
      </c>
      <c r="K122" s="52" t="n">
        <v>0</v>
      </c>
      <c r="L122" s="52" t="n">
        <v>0</v>
      </c>
      <c r="M122" s="52" t="n">
        <v>5</v>
      </c>
      <c r="N122" s="52">
        <f>F122+I122+K122-L122</f>
        <v>5</v>
      </c>
      <c r="O122" s="50" t="str">
        <f>IF(ABS(M122-N122)&lt;0.001,"OK","REVIEW")</f>
        <v>OK</v>
      </c>
      <c r="P122" s="53">
        <f>DATE(YEAR(D122),MONTH(D122),1)</f>
        <v>45444</v>
      </c>
    </row>
    <row r="123" ht="19" customHeight="1">
      <c r="A123" s="46" t="n">
        <v>3349</v>
      </c>
      <c r="B123" s="46" t="inlineStr">
        <is>
          <t>Geraldo Ribeiro</t>
        </is>
      </c>
      <c r="C123" s="46" t="inlineStr">
        <is>
          <t>Ultimate</t>
        </is>
      </c>
      <c r="D123" s="47" t="n">
        <v>45466</v>
      </c>
      <c r="E123" s="46" t="inlineStr">
        <is>
          <t>No</t>
        </is>
      </c>
      <c r="F123" s="48" t="n">
        <v>15</v>
      </c>
      <c r="G123" s="46" t="inlineStr">
        <is>
          <t>Monthly</t>
        </is>
      </c>
      <c r="H123" s="46" t="inlineStr">
        <is>
          <t>Yes</t>
        </is>
      </c>
      <c r="I123" s="48" t="n">
        <v>30</v>
      </c>
      <c r="J123" s="46" t="inlineStr">
        <is>
          <t>Yes</t>
        </is>
      </c>
      <c r="K123" s="48" t="n">
        <v>20</v>
      </c>
      <c r="L123" s="48" t="n">
        <v>3</v>
      </c>
      <c r="M123" s="48" t="n">
        <v>62</v>
      </c>
      <c r="N123" s="48">
        <f>F123+I123+K123-L123</f>
        <v>62</v>
      </c>
      <c r="O123" s="46" t="str">
        <f>IF(ABS(M123-N123)&lt;0.001,"OK","REVIEW")</f>
        <v>OK</v>
      </c>
      <c r="P123" s="49">
        <f>DATE(YEAR(D123),MONTH(D123),1)</f>
        <v>45444</v>
      </c>
    </row>
    <row r="124" ht="19" customHeight="1">
      <c r="A124" s="50" t="n">
        <v>3350</v>
      </c>
      <c r="B124" s="50" t="inlineStr">
        <is>
          <t>Hélio Martins</t>
        </is>
      </c>
      <c r="C124" s="50" t="inlineStr">
        <is>
          <t>Standard</t>
        </is>
      </c>
      <c r="D124" s="51" t="n">
        <v>45467</v>
      </c>
      <c r="E124" s="50" t="inlineStr">
        <is>
          <t>Yes</t>
        </is>
      </c>
      <c r="F124" s="52" t="n">
        <v>10</v>
      </c>
      <c r="G124" s="50" t="inlineStr">
        <is>
          <t>Annual</t>
        </is>
      </c>
      <c r="H124" s="50" t="inlineStr">
        <is>
          <t>No</t>
        </is>
      </c>
      <c r="I124" s="52" t="n">
        <v>0</v>
      </c>
      <c r="J124" s="50" t="inlineStr">
        <is>
          <t>Yes</t>
        </is>
      </c>
      <c r="K124" s="52" t="n">
        <v>20</v>
      </c>
      <c r="L124" s="52" t="n">
        <v>15</v>
      </c>
      <c r="M124" s="52" t="n">
        <v>15</v>
      </c>
      <c r="N124" s="52">
        <f>F124+I124+K124-L124</f>
        <v>15</v>
      </c>
      <c r="O124" s="50" t="str">
        <f>IF(ABS(M124-N124)&lt;0.001,"OK","REVIEW")</f>
        <v>OK</v>
      </c>
      <c r="P124" s="53">
        <f>DATE(YEAR(D124),MONTH(D124),1)</f>
        <v>45444</v>
      </c>
    </row>
    <row r="125" ht="19" customHeight="1">
      <c r="A125" s="46" t="n">
        <v>3351</v>
      </c>
      <c r="B125" s="46" t="inlineStr">
        <is>
          <t>Íris Santos</t>
        </is>
      </c>
      <c r="C125" s="46" t="inlineStr">
        <is>
          <t>Core</t>
        </is>
      </c>
      <c r="D125" s="47" t="n">
        <v>45468</v>
      </c>
      <c r="E125" s="46" t="inlineStr">
        <is>
          <t>No</t>
        </is>
      </c>
      <c r="F125" s="48" t="n">
        <v>5</v>
      </c>
      <c r="G125" s="46" t="inlineStr">
        <is>
          <t>Monthly</t>
        </is>
      </c>
      <c r="H125" s="46" t="inlineStr">
        <is>
          <t>No</t>
        </is>
      </c>
      <c r="I125" s="48" t="n">
        <v>0</v>
      </c>
      <c r="J125" s="46" t="inlineStr">
        <is>
          <t>No</t>
        </is>
      </c>
      <c r="K125" s="48" t="n">
        <v>0</v>
      </c>
      <c r="L125" s="48" t="n">
        <v>1</v>
      </c>
      <c r="M125" s="48" t="n">
        <v>4</v>
      </c>
      <c r="N125" s="48">
        <f>F125+I125+K125-L125</f>
        <v>4</v>
      </c>
      <c r="O125" s="46" t="str">
        <f>IF(ABS(M125-N125)&lt;0.001,"OK","REVIEW")</f>
        <v>OK</v>
      </c>
      <c r="P125" s="49">
        <f>DATE(YEAR(D125),MONTH(D125),1)</f>
        <v>45444</v>
      </c>
    </row>
    <row r="126" ht="19" customHeight="1">
      <c r="A126" s="50" t="n">
        <v>3352</v>
      </c>
      <c r="B126" s="50" t="inlineStr">
        <is>
          <t>João Marcelo</t>
        </is>
      </c>
      <c r="C126" s="50" t="inlineStr">
        <is>
          <t>Ultimate</t>
        </is>
      </c>
      <c r="D126" s="51" t="n">
        <v>45469</v>
      </c>
      <c r="E126" s="50" t="inlineStr">
        <is>
          <t>Yes</t>
        </is>
      </c>
      <c r="F126" s="52" t="n">
        <v>15</v>
      </c>
      <c r="G126" s="50" t="inlineStr">
        <is>
          <t>Quarterly</t>
        </is>
      </c>
      <c r="H126" s="50" t="inlineStr">
        <is>
          <t>Yes</t>
        </is>
      </c>
      <c r="I126" s="52" t="n">
        <v>30</v>
      </c>
      <c r="J126" s="50" t="inlineStr">
        <is>
          <t>Yes</t>
        </is>
      </c>
      <c r="K126" s="52" t="n">
        <v>20</v>
      </c>
      <c r="L126" s="52" t="n">
        <v>7</v>
      </c>
      <c r="M126" s="52" t="n">
        <v>58</v>
      </c>
      <c r="N126" s="52">
        <f>F126+I126+K126-L126</f>
        <v>58</v>
      </c>
      <c r="O126" s="50" t="str">
        <f>IF(ABS(M126-N126)&lt;0.001,"OK","REVIEW")</f>
        <v>OK</v>
      </c>
      <c r="P126" s="53">
        <f>DATE(YEAR(D126),MONTH(D126),1)</f>
        <v>45444</v>
      </c>
    </row>
    <row r="127" ht="19" customHeight="1">
      <c r="A127" s="46" t="n">
        <v>3353</v>
      </c>
      <c r="B127" s="46" t="inlineStr">
        <is>
          <t>Larissa Gomes</t>
        </is>
      </c>
      <c r="C127" s="46" t="inlineStr">
        <is>
          <t>Standard</t>
        </is>
      </c>
      <c r="D127" s="47" t="n">
        <v>45470</v>
      </c>
      <c r="E127" s="46" t="inlineStr">
        <is>
          <t>No</t>
        </is>
      </c>
      <c r="F127" s="48" t="n">
        <v>10</v>
      </c>
      <c r="G127" s="46" t="inlineStr">
        <is>
          <t>Monthly</t>
        </is>
      </c>
      <c r="H127" s="46" t="inlineStr">
        <is>
          <t>No</t>
        </is>
      </c>
      <c r="I127" s="48" t="n">
        <v>0</v>
      </c>
      <c r="J127" s="46" t="inlineStr">
        <is>
          <t>Yes</t>
        </is>
      </c>
      <c r="K127" s="48" t="n">
        <v>20</v>
      </c>
      <c r="L127" s="48" t="n">
        <v>10</v>
      </c>
      <c r="M127" s="48" t="n">
        <v>20</v>
      </c>
      <c r="N127" s="48">
        <f>F127+I127+K127-L127</f>
        <v>20</v>
      </c>
      <c r="O127" s="46" t="str">
        <f>IF(ABS(M127-N127)&lt;0.001,"OK","REVIEW")</f>
        <v>OK</v>
      </c>
      <c r="P127" s="49">
        <f>DATE(YEAR(D127),MONTH(D127),1)</f>
        <v>45444</v>
      </c>
    </row>
    <row r="128" ht="19" customHeight="1">
      <c r="A128" s="50" t="n">
        <v>3354</v>
      </c>
      <c r="B128" s="50" t="inlineStr">
        <is>
          <t>Márcio Silva</t>
        </is>
      </c>
      <c r="C128" s="50" t="inlineStr">
        <is>
          <t>Core</t>
        </is>
      </c>
      <c r="D128" s="51" t="n">
        <v>45471</v>
      </c>
      <c r="E128" s="50" t="inlineStr">
        <is>
          <t>Yes</t>
        </is>
      </c>
      <c r="F128" s="52" t="n">
        <v>5</v>
      </c>
      <c r="G128" s="50" t="inlineStr">
        <is>
          <t>Annual</t>
        </is>
      </c>
      <c r="H128" s="50" t="inlineStr">
        <is>
          <t>No</t>
        </is>
      </c>
      <c r="I128" s="52" t="n">
        <v>0</v>
      </c>
      <c r="J128" s="50" t="inlineStr">
        <is>
          <t>No</t>
        </is>
      </c>
      <c r="K128" s="52" t="n">
        <v>0</v>
      </c>
      <c r="L128" s="52" t="n">
        <v>0</v>
      </c>
      <c r="M128" s="52" t="n">
        <v>5</v>
      </c>
      <c r="N128" s="52">
        <f>F128+I128+K128-L128</f>
        <v>5</v>
      </c>
      <c r="O128" s="50" t="str">
        <f>IF(ABS(M128-N128)&lt;0.001,"OK","REVIEW")</f>
        <v>OK</v>
      </c>
      <c r="P128" s="53">
        <f>DATE(YEAR(D128),MONTH(D128),1)</f>
        <v>45444</v>
      </c>
    </row>
    <row r="129" ht="19" customHeight="1">
      <c r="A129" s="46" t="n">
        <v>3355</v>
      </c>
      <c r="B129" s="46" t="inlineStr">
        <is>
          <t>Nadia Costa</t>
        </is>
      </c>
      <c r="C129" s="46" t="inlineStr">
        <is>
          <t>Ultimate</t>
        </is>
      </c>
      <c r="D129" s="47" t="n">
        <v>45472</v>
      </c>
      <c r="E129" s="46" t="inlineStr">
        <is>
          <t>No</t>
        </is>
      </c>
      <c r="F129" s="48" t="n">
        <v>15</v>
      </c>
      <c r="G129" s="46" t="inlineStr">
        <is>
          <t>Monthly</t>
        </is>
      </c>
      <c r="H129" s="46" t="inlineStr">
        <is>
          <t>Yes</t>
        </is>
      </c>
      <c r="I129" s="48" t="n">
        <v>30</v>
      </c>
      <c r="J129" s="46" t="inlineStr">
        <is>
          <t>Yes</t>
        </is>
      </c>
      <c r="K129" s="48" t="n">
        <v>20</v>
      </c>
      <c r="L129" s="48" t="n">
        <v>20</v>
      </c>
      <c r="M129" s="48" t="n">
        <v>45</v>
      </c>
      <c r="N129" s="48">
        <f>F129+I129+K129-L129</f>
        <v>45</v>
      </c>
      <c r="O129" s="46" t="str">
        <f>IF(ABS(M129-N129)&lt;0.001,"OK","REVIEW")</f>
        <v>OK</v>
      </c>
      <c r="P129" s="49">
        <f>DATE(YEAR(D129),MONTH(D129),1)</f>
        <v>45444</v>
      </c>
    </row>
    <row r="130" ht="19" customHeight="1">
      <c r="A130" s="50" t="n">
        <v>3356</v>
      </c>
      <c r="B130" s="50" t="inlineStr">
        <is>
          <t>Oscar Almeida</t>
        </is>
      </c>
      <c r="C130" s="50" t="inlineStr">
        <is>
          <t>Standard</t>
        </is>
      </c>
      <c r="D130" s="51" t="n">
        <v>45473</v>
      </c>
      <c r="E130" s="50" t="inlineStr">
        <is>
          <t>Yes</t>
        </is>
      </c>
      <c r="F130" s="52" t="n">
        <v>10</v>
      </c>
      <c r="G130" s="50" t="inlineStr">
        <is>
          <t>Quarterly</t>
        </is>
      </c>
      <c r="H130" s="50" t="inlineStr">
        <is>
          <t>No</t>
        </is>
      </c>
      <c r="I130" s="52" t="n">
        <v>0</v>
      </c>
      <c r="J130" s="50" t="inlineStr">
        <is>
          <t>Yes</t>
        </is>
      </c>
      <c r="K130" s="52" t="n">
        <v>20</v>
      </c>
      <c r="L130" s="52" t="n">
        <v>15</v>
      </c>
      <c r="M130" s="52" t="n">
        <v>15</v>
      </c>
      <c r="N130" s="52">
        <f>F130+I130+K130-L130</f>
        <v>15</v>
      </c>
      <c r="O130" s="50" t="str">
        <f>IF(ABS(M130-N130)&lt;0.001,"OK","REVIEW")</f>
        <v>OK</v>
      </c>
      <c r="P130" s="53">
        <f>DATE(YEAR(D130),MONTH(D130),1)</f>
        <v>45444</v>
      </c>
    </row>
    <row r="131" ht="19" customHeight="1">
      <c r="A131" s="46" t="n">
        <v>3357</v>
      </c>
      <c r="B131" s="46" t="inlineStr">
        <is>
          <t>Patricia Soares</t>
        </is>
      </c>
      <c r="C131" s="46" t="inlineStr">
        <is>
          <t>Core</t>
        </is>
      </c>
      <c r="D131" s="47" t="n">
        <v>45474</v>
      </c>
      <c r="E131" s="46" t="inlineStr">
        <is>
          <t>No</t>
        </is>
      </c>
      <c r="F131" s="48" t="n">
        <v>5</v>
      </c>
      <c r="G131" s="46" t="inlineStr">
        <is>
          <t>Monthly</t>
        </is>
      </c>
      <c r="H131" s="46" t="inlineStr">
        <is>
          <t>No</t>
        </is>
      </c>
      <c r="I131" s="48" t="n">
        <v>0</v>
      </c>
      <c r="J131" s="46" t="inlineStr">
        <is>
          <t>No</t>
        </is>
      </c>
      <c r="K131" s="48" t="n">
        <v>0</v>
      </c>
      <c r="L131" s="48" t="n">
        <v>1</v>
      </c>
      <c r="M131" s="48" t="n">
        <v>4</v>
      </c>
      <c r="N131" s="48">
        <f>F131+I131+K131-L131</f>
        <v>4</v>
      </c>
      <c r="O131" s="46" t="str">
        <f>IF(ABS(M131-N131)&lt;0.001,"OK","REVIEW")</f>
        <v>OK</v>
      </c>
      <c r="P131" s="49">
        <f>DATE(YEAR(D131),MONTH(D131),1)</f>
        <v>45474</v>
      </c>
    </row>
    <row r="132" ht="19" customHeight="1">
      <c r="A132" s="50" t="n">
        <v>3358</v>
      </c>
      <c r="B132" s="50" t="inlineStr">
        <is>
          <t>Quênia Barros</t>
        </is>
      </c>
      <c r="C132" s="50" t="inlineStr">
        <is>
          <t>Ultimate</t>
        </is>
      </c>
      <c r="D132" s="51" t="n">
        <v>45475</v>
      </c>
      <c r="E132" s="50" t="inlineStr">
        <is>
          <t>Yes</t>
        </is>
      </c>
      <c r="F132" s="52" t="n">
        <v>15</v>
      </c>
      <c r="G132" s="50" t="inlineStr">
        <is>
          <t>Annual</t>
        </is>
      </c>
      <c r="H132" s="50" t="inlineStr">
        <is>
          <t>Yes</t>
        </is>
      </c>
      <c r="I132" s="52" t="n">
        <v>30</v>
      </c>
      <c r="J132" s="50" t="inlineStr">
        <is>
          <t>Yes</t>
        </is>
      </c>
      <c r="K132" s="52" t="n">
        <v>20</v>
      </c>
      <c r="L132" s="52" t="n">
        <v>3</v>
      </c>
      <c r="M132" s="52" t="n">
        <v>62</v>
      </c>
      <c r="N132" s="52">
        <f>F132+I132+K132-L132</f>
        <v>62</v>
      </c>
      <c r="O132" s="50" t="str">
        <f>IF(ABS(M132-N132)&lt;0.001,"OK","REVIEW")</f>
        <v>OK</v>
      </c>
      <c r="P132" s="53">
        <f>DATE(YEAR(D132),MONTH(D132),1)</f>
        <v>45474</v>
      </c>
    </row>
    <row r="133" ht="19" customHeight="1">
      <c r="A133" s="46" t="n">
        <v>3359</v>
      </c>
      <c r="B133" s="46" t="inlineStr">
        <is>
          <t>Rafael Torres</t>
        </is>
      </c>
      <c r="C133" s="46" t="inlineStr">
        <is>
          <t>Standard</t>
        </is>
      </c>
      <c r="D133" s="47" t="n">
        <v>45476</v>
      </c>
      <c r="E133" s="46" t="inlineStr">
        <is>
          <t>No</t>
        </is>
      </c>
      <c r="F133" s="48" t="n">
        <v>10</v>
      </c>
      <c r="G133" s="46" t="inlineStr">
        <is>
          <t>Monthly</t>
        </is>
      </c>
      <c r="H133" s="46" t="inlineStr">
        <is>
          <t>No</t>
        </is>
      </c>
      <c r="I133" s="48" t="n">
        <v>0</v>
      </c>
      <c r="J133" s="46" t="inlineStr">
        <is>
          <t>Yes</t>
        </is>
      </c>
      <c r="K133" s="48" t="n">
        <v>20</v>
      </c>
      <c r="L133" s="48" t="n">
        <v>10</v>
      </c>
      <c r="M133" s="48" t="n">
        <v>20</v>
      </c>
      <c r="N133" s="48">
        <f>F133+I133+K133-L133</f>
        <v>20</v>
      </c>
      <c r="O133" s="46" t="str">
        <f>IF(ABS(M133-N133)&lt;0.001,"OK","REVIEW")</f>
        <v>OK</v>
      </c>
      <c r="P133" s="49">
        <f>DATE(YEAR(D133),MONTH(D133),1)</f>
        <v>45474</v>
      </c>
    </row>
    <row r="134" ht="19" customHeight="1">
      <c r="A134" s="50" t="n">
        <v>3360</v>
      </c>
      <c r="B134" s="50" t="inlineStr">
        <is>
          <t>Silvia Nascimento</t>
        </is>
      </c>
      <c r="C134" s="50" t="inlineStr">
        <is>
          <t>Core</t>
        </is>
      </c>
      <c r="D134" s="51" t="n">
        <v>45477</v>
      </c>
      <c r="E134" s="50" t="inlineStr">
        <is>
          <t>Yes</t>
        </is>
      </c>
      <c r="F134" s="52" t="n">
        <v>5</v>
      </c>
      <c r="G134" s="50" t="inlineStr">
        <is>
          <t>Quarterly</t>
        </is>
      </c>
      <c r="H134" s="50" t="inlineStr">
        <is>
          <t>No</t>
        </is>
      </c>
      <c r="I134" s="52" t="n">
        <v>0</v>
      </c>
      <c r="J134" s="50" t="inlineStr">
        <is>
          <t>No</t>
        </is>
      </c>
      <c r="K134" s="52" t="n">
        <v>0</v>
      </c>
      <c r="L134" s="52" t="n">
        <v>0</v>
      </c>
      <c r="M134" s="52" t="n">
        <v>5</v>
      </c>
      <c r="N134" s="52">
        <f>F134+I134+K134-L134</f>
        <v>5</v>
      </c>
      <c r="O134" s="50" t="str">
        <f>IF(ABS(M134-N134)&lt;0.001,"OK","REVIEW")</f>
        <v>OK</v>
      </c>
      <c r="P134" s="53">
        <f>DATE(YEAR(D134),MONTH(D134),1)</f>
        <v>45474</v>
      </c>
    </row>
    <row r="135" ht="19" customHeight="1">
      <c r="A135" s="46" t="n">
        <v>3361</v>
      </c>
      <c r="B135" s="46" t="inlineStr">
        <is>
          <t>Tiago Mendes</t>
        </is>
      </c>
      <c r="C135" s="46" t="inlineStr">
        <is>
          <t>Ultimate</t>
        </is>
      </c>
      <c r="D135" s="47" t="n">
        <v>45478</v>
      </c>
      <c r="E135" s="46" t="inlineStr">
        <is>
          <t>No</t>
        </is>
      </c>
      <c r="F135" s="48" t="n">
        <v>15</v>
      </c>
      <c r="G135" s="46" t="inlineStr">
        <is>
          <t>Monthly</t>
        </is>
      </c>
      <c r="H135" s="46" t="inlineStr">
        <is>
          <t>Yes</t>
        </is>
      </c>
      <c r="I135" s="48" t="n">
        <v>30</v>
      </c>
      <c r="J135" s="46" t="inlineStr">
        <is>
          <t>Yes</t>
        </is>
      </c>
      <c r="K135" s="48" t="n">
        <v>20</v>
      </c>
      <c r="L135" s="48" t="n">
        <v>15</v>
      </c>
      <c r="M135" s="48" t="n">
        <v>50</v>
      </c>
      <c r="N135" s="48">
        <f>F135+I135+K135-L135</f>
        <v>50</v>
      </c>
      <c r="O135" s="46" t="str">
        <f>IF(ABS(M135-N135)&lt;0.001,"OK","REVIEW")</f>
        <v>OK</v>
      </c>
      <c r="P135" s="49">
        <f>DATE(YEAR(D135),MONTH(D135),1)</f>
        <v>45474</v>
      </c>
    </row>
    <row r="136" ht="19" customHeight="1">
      <c r="A136" s="50" t="n">
        <v>3362</v>
      </c>
      <c r="B136" s="50" t="inlineStr">
        <is>
          <t>Ursula Silva</t>
        </is>
      </c>
      <c r="C136" s="50" t="inlineStr">
        <is>
          <t>Standard</t>
        </is>
      </c>
      <c r="D136" s="51" t="n">
        <v>45479</v>
      </c>
      <c r="E136" s="50" t="inlineStr">
        <is>
          <t>Yes</t>
        </is>
      </c>
      <c r="F136" s="52" t="n">
        <v>10</v>
      </c>
      <c r="G136" s="50" t="inlineStr">
        <is>
          <t>Annual</t>
        </is>
      </c>
      <c r="H136" s="50" t="inlineStr">
        <is>
          <t>No</t>
        </is>
      </c>
      <c r="I136" s="52" t="n">
        <v>0</v>
      </c>
      <c r="J136" s="50" t="inlineStr">
        <is>
          <t>Yes</t>
        </is>
      </c>
      <c r="K136" s="52" t="n">
        <v>20</v>
      </c>
      <c r="L136" s="52" t="n">
        <v>15</v>
      </c>
      <c r="M136" s="52" t="n">
        <v>15</v>
      </c>
      <c r="N136" s="52">
        <f>F136+I136+K136-L136</f>
        <v>15</v>
      </c>
      <c r="O136" s="50" t="str">
        <f>IF(ABS(M136-N136)&lt;0.001,"OK","REVIEW")</f>
        <v>OK</v>
      </c>
      <c r="P136" s="53">
        <f>DATE(YEAR(D136),MONTH(D136),1)</f>
        <v>45474</v>
      </c>
    </row>
    <row r="137" ht="19" customHeight="1">
      <c r="A137" s="46" t="n">
        <v>3363</v>
      </c>
      <c r="B137" s="46" t="inlineStr">
        <is>
          <t>Vanessa Moraes</t>
        </is>
      </c>
      <c r="C137" s="46" t="inlineStr">
        <is>
          <t>Core</t>
        </is>
      </c>
      <c r="D137" s="47" t="n">
        <v>45480</v>
      </c>
      <c r="E137" s="46" t="inlineStr">
        <is>
          <t>No</t>
        </is>
      </c>
      <c r="F137" s="48" t="n">
        <v>5</v>
      </c>
      <c r="G137" s="46" t="inlineStr">
        <is>
          <t>Monthly</t>
        </is>
      </c>
      <c r="H137" s="46" t="inlineStr">
        <is>
          <t>No</t>
        </is>
      </c>
      <c r="I137" s="48" t="n">
        <v>0</v>
      </c>
      <c r="J137" s="46" t="inlineStr">
        <is>
          <t>No</t>
        </is>
      </c>
      <c r="K137" s="48" t="n">
        <v>0</v>
      </c>
      <c r="L137" s="48" t="n">
        <v>1</v>
      </c>
      <c r="M137" s="48" t="n">
        <v>4</v>
      </c>
      <c r="N137" s="48">
        <f>F137+I137+K137-L137</f>
        <v>4</v>
      </c>
      <c r="O137" s="46" t="str">
        <f>IF(ABS(M137-N137)&lt;0.001,"OK","REVIEW")</f>
        <v>OK</v>
      </c>
      <c r="P137" s="49">
        <f>DATE(YEAR(D137),MONTH(D137),1)</f>
        <v>45474</v>
      </c>
    </row>
    <row r="138" ht="19" customHeight="1">
      <c r="A138" s="50" t="n">
        <v>3364</v>
      </c>
      <c r="B138" s="50" t="inlineStr">
        <is>
          <t>Waldir Junior</t>
        </is>
      </c>
      <c r="C138" s="50" t="inlineStr">
        <is>
          <t>Ultimate</t>
        </is>
      </c>
      <c r="D138" s="51" t="n">
        <v>45481</v>
      </c>
      <c r="E138" s="50" t="inlineStr">
        <is>
          <t>Yes</t>
        </is>
      </c>
      <c r="F138" s="52" t="n">
        <v>15</v>
      </c>
      <c r="G138" s="50" t="inlineStr">
        <is>
          <t>Quarterly</t>
        </is>
      </c>
      <c r="H138" s="50" t="inlineStr">
        <is>
          <t>Yes</t>
        </is>
      </c>
      <c r="I138" s="52" t="n">
        <v>30</v>
      </c>
      <c r="J138" s="50" t="inlineStr">
        <is>
          <t>Yes</t>
        </is>
      </c>
      <c r="K138" s="52" t="n">
        <v>20</v>
      </c>
      <c r="L138" s="52" t="n">
        <v>7</v>
      </c>
      <c r="M138" s="52" t="n">
        <v>58</v>
      </c>
      <c r="N138" s="52">
        <f>F138+I138+K138-L138</f>
        <v>58</v>
      </c>
      <c r="O138" s="50" t="str">
        <f>IF(ABS(M138-N138)&lt;0.001,"OK","REVIEW")</f>
        <v>OK</v>
      </c>
      <c r="P138" s="53">
        <f>DATE(YEAR(D138),MONTH(D138),1)</f>
        <v>45474</v>
      </c>
    </row>
    <row r="139" ht="19" customHeight="1">
      <c r="A139" s="46" t="n">
        <v>3365</v>
      </c>
      <c r="B139" s="46" t="inlineStr">
        <is>
          <t>Xavier Lopes</t>
        </is>
      </c>
      <c r="C139" s="46" t="inlineStr">
        <is>
          <t>Standard</t>
        </is>
      </c>
      <c r="D139" s="47" t="n">
        <v>45482</v>
      </c>
      <c r="E139" s="46" t="inlineStr">
        <is>
          <t>No</t>
        </is>
      </c>
      <c r="F139" s="48" t="n">
        <v>10</v>
      </c>
      <c r="G139" s="46" t="inlineStr">
        <is>
          <t>Monthly</t>
        </is>
      </c>
      <c r="H139" s="46" t="inlineStr">
        <is>
          <t>No</t>
        </is>
      </c>
      <c r="I139" s="48" t="n">
        <v>0</v>
      </c>
      <c r="J139" s="46" t="inlineStr">
        <is>
          <t>Yes</t>
        </is>
      </c>
      <c r="K139" s="48" t="n">
        <v>20</v>
      </c>
      <c r="L139" s="48" t="n">
        <v>10</v>
      </c>
      <c r="M139" s="48" t="n">
        <v>20</v>
      </c>
      <c r="N139" s="48">
        <f>F139+I139+K139-L139</f>
        <v>20</v>
      </c>
      <c r="O139" s="46" t="str">
        <f>IF(ABS(M139-N139)&lt;0.001,"OK","REVIEW")</f>
        <v>OK</v>
      </c>
      <c r="P139" s="49">
        <f>DATE(YEAR(D139),MONTH(D139),1)</f>
        <v>45474</v>
      </c>
    </row>
    <row r="140" ht="19" customHeight="1">
      <c r="A140" s="50" t="n">
        <v>3366</v>
      </c>
      <c r="B140" s="50" t="inlineStr">
        <is>
          <t>Yolanda Freitas</t>
        </is>
      </c>
      <c r="C140" s="50" t="inlineStr">
        <is>
          <t>Core</t>
        </is>
      </c>
      <c r="D140" s="51" t="n">
        <v>45483</v>
      </c>
      <c r="E140" s="50" t="inlineStr">
        <is>
          <t>Yes</t>
        </is>
      </c>
      <c r="F140" s="52" t="n">
        <v>5</v>
      </c>
      <c r="G140" s="50" t="inlineStr">
        <is>
          <t>Monthly</t>
        </is>
      </c>
      <c r="H140" s="50" t="inlineStr">
        <is>
          <t>No</t>
        </is>
      </c>
      <c r="I140" s="52" t="n">
        <v>0</v>
      </c>
      <c r="J140" s="50" t="inlineStr">
        <is>
          <t>No</t>
        </is>
      </c>
      <c r="K140" s="52" t="n">
        <v>0</v>
      </c>
      <c r="L140" s="52" t="n">
        <v>0</v>
      </c>
      <c r="M140" s="52" t="n">
        <v>5</v>
      </c>
      <c r="N140" s="52">
        <f>F140+I140+K140-L140</f>
        <v>5</v>
      </c>
      <c r="O140" s="50" t="str">
        <f>IF(ABS(M140-N140)&lt;0.001,"OK","REVIEW")</f>
        <v>OK</v>
      </c>
      <c r="P140" s="53">
        <f>DATE(YEAR(D140),MONTH(D140),1)</f>
        <v>45474</v>
      </c>
    </row>
    <row r="141" ht="19" customHeight="1">
      <c r="A141" s="46" t="n">
        <v>3367</v>
      </c>
      <c r="B141" s="46" t="inlineStr">
        <is>
          <t>Zacarias Nunes</t>
        </is>
      </c>
      <c r="C141" s="46" t="inlineStr">
        <is>
          <t>Ultimate</t>
        </is>
      </c>
      <c r="D141" s="47" t="n">
        <v>45484</v>
      </c>
      <c r="E141" s="46" t="inlineStr">
        <is>
          <t>No</t>
        </is>
      </c>
      <c r="F141" s="48" t="n">
        <v>15</v>
      </c>
      <c r="G141" s="46" t="inlineStr">
        <is>
          <t>Quarterly</t>
        </is>
      </c>
      <c r="H141" s="46" t="inlineStr">
        <is>
          <t>Yes</t>
        </is>
      </c>
      <c r="I141" s="48" t="n">
        <v>30</v>
      </c>
      <c r="J141" s="46" t="inlineStr">
        <is>
          <t>Yes</t>
        </is>
      </c>
      <c r="K141" s="48" t="n">
        <v>20</v>
      </c>
      <c r="L141" s="48" t="n">
        <v>7</v>
      </c>
      <c r="M141" s="48" t="n">
        <v>58</v>
      </c>
      <c r="N141" s="48">
        <f>F141+I141+K141-L141</f>
        <v>58</v>
      </c>
      <c r="O141" s="46" t="str">
        <f>IF(ABS(M141-N141)&lt;0.001,"OK","REVIEW")</f>
        <v>OK</v>
      </c>
      <c r="P141" s="49">
        <f>DATE(YEAR(D141),MONTH(D141),1)</f>
        <v>45474</v>
      </c>
    </row>
    <row r="142" ht="19" customHeight="1">
      <c r="A142" s="50" t="n">
        <v>3368</v>
      </c>
      <c r="B142" s="50" t="inlineStr">
        <is>
          <t>Ana Clara Barreto</t>
        </is>
      </c>
      <c r="C142" s="50" t="inlineStr">
        <is>
          <t>Standard</t>
        </is>
      </c>
      <c r="D142" s="51" t="n">
        <v>45485</v>
      </c>
      <c r="E142" s="50" t="inlineStr">
        <is>
          <t>Yes</t>
        </is>
      </c>
      <c r="F142" s="52" t="n">
        <v>10</v>
      </c>
      <c r="G142" s="50" t="inlineStr">
        <is>
          <t>Annual</t>
        </is>
      </c>
      <c r="H142" s="50" t="inlineStr">
        <is>
          <t>No</t>
        </is>
      </c>
      <c r="I142" s="52" t="n">
        <v>0</v>
      </c>
      <c r="J142" s="50" t="inlineStr">
        <is>
          <t>Yes</t>
        </is>
      </c>
      <c r="K142" s="52" t="n">
        <v>20</v>
      </c>
      <c r="L142" s="52" t="n">
        <v>10</v>
      </c>
      <c r="M142" s="52" t="n">
        <v>20</v>
      </c>
      <c r="N142" s="52">
        <f>F142+I142+K142-L142</f>
        <v>20</v>
      </c>
      <c r="O142" s="50" t="str">
        <f>IF(ABS(M142-N142)&lt;0.001,"OK","REVIEW")</f>
        <v>OK</v>
      </c>
      <c r="P142" s="53">
        <f>DATE(YEAR(D142),MONTH(D142),1)</f>
        <v>45474</v>
      </c>
    </row>
    <row r="143" ht="19" customHeight="1">
      <c r="A143" s="46" t="n">
        <v>3369</v>
      </c>
      <c r="B143" s="46" t="inlineStr">
        <is>
          <t>Bruno Henrique</t>
        </is>
      </c>
      <c r="C143" s="46" t="inlineStr">
        <is>
          <t>Core</t>
        </is>
      </c>
      <c r="D143" s="47" t="n">
        <v>45486</v>
      </c>
      <c r="E143" s="46" t="inlineStr">
        <is>
          <t>No</t>
        </is>
      </c>
      <c r="F143" s="48" t="n">
        <v>5</v>
      </c>
      <c r="G143" s="46" t="inlineStr">
        <is>
          <t>Quarterly</t>
        </is>
      </c>
      <c r="H143" s="46" t="inlineStr">
        <is>
          <t>No</t>
        </is>
      </c>
      <c r="I143" s="48" t="n">
        <v>0</v>
      </c>
      <c r="J143" s="46" t="inlineStr">
        <is>
          <t>No</t>
        </is>
      </c>
      <c r="K143" s="48" t="n">
        <v>0</v>
      </c>
      <c r="L143" s="48" t="n">
        <v>1</v>
      </c>
      <c r="M143" s="48" t="n">
        <v>4</v>
      </c>
      <c r="N143" s="48">
        <f>F143+I143+K143-L143</f>
        <v>4</v>
      </c>
      <c r="O143" s="46" t="str">
        <f>IF(ABS(M143-N143)&lt;0.001,"OK","REVIEW")</f>
        <v>OK</v>
      </c>
      <c r="P143" s="49">
        <f>DATE(YEAR(D143),MONTH(D143),1)</f>
        <v>45474</v>
      </c>
    </row>
    <row r="144" ht="19" customHeight="1">
      <c r="A144" s="50" t="n">
        <v>3370</v>
      </c>
      <c r="B144" s="50" t="inlineStr">
        <is>
          <t>Carlos Eduardo</t>
        </is>
      </c>
      <c r="C144" s="50" t="inlineStr">
        <is>
          <t>Ultimate</t>
        </is>
      </c>
      <c r="D144" s="51" t="n">
        <v>45487</v>
      </c>
      <c r="E144" s="50" t="inlineStr">
        <is>
          <t>Yes</t>
        </is>
      </c>
      <c r="F144" s="52" t="n">
        <v>15</v>
      </c>
      <c r="G144" s="50" t="inlineStr">
        <is>
          <t>Monthly</t>
        </is>
      </c>
      <c r="H144" s="50" t="inlineStr">
        <is>
          <t>Yes</t>
        </is>
      </c>
      <c r="I144" s="52" t="n">
        <v>30</v>
      </c>
      <c r="J144" s="50" t="inlineStr">
        <is>
          <t>Yes</t>
        </is>
      </c>
      <c r="K144" s="52" t="n">
        <v>20</v>
      </c>
      <c r="L144" s="52" t="n">
        <v>15</v>
      </c>
      <c r="M144" s="52" t="n">
        <v>50</v>
      </c>
      <c r="N144" s="52">
        <f>F144+I144+K144-L144</f>
        <v>50</v>
      </c>
      <c r="O144" s="50" t="str">
        <f>IF(ABS(M144-N144)&lt;0.001,"OK","REVIEW")</f>
        <v>OK</v>
      </c>
      <c r="P144" s="53">
        <f>DATE(YEAR(D144),MONTH(D144),1)</f>
        <v>45474</v>
      </c>
    </row>
    <row r="145" ht="19" customHeight="1">
      <c r="A145" s="46" t="n">
        <v>3371</v>
      </c>
      <c r="B145" s="46" t="inlineStr">
        <is>
          <t>Débora Lima</t>
        </is>
      </c>
      <c r="C145" s="46" t="inlineStr">
        <is>
          <t>Standard</t>
        </is>
      </c>
      <c r="D145" s="47" t="n">
        <v>45488</v>
      </c>
      <c r="E145" s="46" t="inlineStr">
        <is>
          <t>No</t>
        </is>
      </c>
      <c r="F145" s="48" t="n">
        <v>10</v>
      </c>
      <c r="G145" s="46" t="inlineStr">
        <is>
          <t>Monthly</t>
        </is>
      </c>
      <c r="H145" s="46" t="inlineStr">
        <is>
          <t>No</t>
        </is>
      </c>
      <c r="I145" s="48" t="n">
        <v>0</v>
      </c>
      <c r="J145" s="46" t="inlineStr">
        <is>
          <t>Yes</t>
        </is>
      </c>
      <c r="K145" s="48" t="n">
        <v>20</v>
      </c>
      <c r="L145" s="48" t="n">
        <v>5</v>
      </c>
      <c r="M145" s="48" t="n">
        <v>25</v>
      </c>
      <c r="N145" s="48">
        <f>F145+I145+K145-L145</f>
        <v>25</v>
      </c>
      <c r="O145" s="46" t="str">
        <f>IF(ABS(M145-N145)&lt;0.001,"OK","REVIEW")</f>
        <v>OK</v>
      </c>
      <c r="P145" s="49">
        <f>DATE(YEAR(D145),MONTH(D145),1)</f>
        <v>45474</v>
      </c>
    </row>
    <row r="146" ht="19" customHeight="1">
      <c r="A146" s="50" t="n">
        <v>3372</v>
      </c>
      <c r="B146" s="50" t="inlineStr">
        <is>
          <t>Elisa Neves</t>
        </is>
      </c>
      <c r="C146" s="50" t="inlineStr">
        <is>
          <t>Core</t>
        </is>
      </c>
      <c r="D146" s="51" t="n">
        <v>45489</v>
      </c>
      <c r="E146" s="50" t="inlineStr">
        <is>
          <t>Yes</t>
        </is>
      </c>
      <c r="F146" s="52" t="n">
        <v>5</v>
      </c>
      <c r="G146" s="50" t="inlineStr">
        <is>
          <t>Annual</t>
        </is>
      </c>
      <c r="H146" s="50" t="inlineStr">
        <is>
          <t>No</t>
        </is>
      </c>
      <c r="I146" s="52" t="n">
        <v>0</v>
      </c>
      <c r="J146" s="50" t="inlineStr">
        <is>
          <t>No</t>
        </is>
      </c>
      <c r="K146" s="52" t="n">
        <v>0</v>
      </c>
      <c r="L146" s="52" t="n">
        <v>0</v>
      </c>
      <c r="M146" s="52" t="n">
        <v>5</v>
      </c>
      <c r="N146" s="52">
        <f>F146+I146+K146-L146</f>
        <v>5</v>
      </c>
      <c r="O146" s="50" t="str">
        <f>IF(ABS(M146-N146)&lt;0.001,"OK","REVIEW")</f>
        <v>OK</v>
      </c>
      <c r="P146" s="53">
        <f>DATE(YEAR(D146),MONTH(D146),1)</f>
        <v>45474</v>
      </c>
    </row>
    <row r="147" ht="19" customHeight="1">
      <c r="A147" s="46" t="n">
        <v>3373</v>
      </c>
      <c r="B147" s="46" t="inlineStr">
        <is>
          <t>Fabiano Gomes</t>
        </is>
      </c>
      <c r="C147" s="46" t="inlineStr">
        <is>
          <t>Ultimate</t>
        </is>
      </c>
      <c r="D147" s="47" t="n">
        <v>45490</v>
      </c>
      <c r="E147" s="46" t="inlineStr">
        <is>
          <t>No</t>
        </is>
      </c>
      <c r="F147" s="48" t="n">
        <v>15</v>
      </c>
      <c r="G147" s="46" t="inlineStr">
        <is>
          <t>Quarterly</t>
        </is>
      </c>
      <c r="H147" s="46" t="inlineStr">
        <is>
          <t>Yes</t>
        </is>
      </c>
      <c r="I147" s="48" t="n">
        <v>30</v>
      </c>
      <c r="J147" s="46" t="inlineStr">
        <is>
          <t>Yes</t>
        </is>
      </c>
      <c r="K147" s="48" t="n">
        <v>20</v>
      </c>
      <c r="L147" s="48" t="n">
        <v>20</v>
      </c>
      <c r="M147" s="48" t="n">
        <v>45</v>
      </c>
      <c r="N147" s="48">
        <f>F147+I147+K147-L147</f>
        <v>45</v>
      </c>
      <c r="O147" s="46" t="str">
        <f>IF(ABS(M147-N147)&lt;0.001,"OK","REVIEW")</f>
        <v>OK</v>
      </c>
      <c r="P147" s="49">
        <f>DATE(YEAR(D147),MONTH(D147),1)</f>
        <v>45474</v>
      </c>
    </row>
    <row r="148" ht="19" customHeight="1">
      <c r="A148" s="50" t="n">
        <v>3374</v>
      </c>
      <c r="B148" s="50" t="inlineStr">
        <is>
          <t>Gisele Oliveira</t>
        </is>
      </c>
      <c r="C148" s="50" t="inlineStr">
        <is>
          <t>Standard</t>
        </is>
      </c>
      <c r="D148" s="51" t="n">
        <v>45491</v>
      </c>
      <c r="E148" s="50" t="inlineStr">
        <is>
          <t>Yes</t>
        </is>
      </c>
      <c r="F148" s="52" t="n">
        <v>10</v>
      </c>
      <c r="G148" s="50" t="inlineStr">
        <is>
          <t>Quarterly</t>
        </is>
      </c>
      <c r="H148" s="50" t="inlineStr">
        <is>
          <t>No</t>
        </is>
      </c>
      <c r="I148" s="52" t="n">
        <v>0</v>
      </c>
      <c r="J148" s="50" t="inlineStr">
        <is>
          <t>Yes</t>
        </is>
      </c>
      <c r="K148" s="52" t="n">
        <v>20</v>
      </c>
      <c r="L148" s="52" t="n">
        <v>12</v>
      </c>
      <c r="M148" s="52" t="n">
        <v>18</v>
      </c>
      <c r="N148" s="52">
        <f>F148+I148+K148-L148</f>
        <v>18</v>
      </c>
      <c r="O148" s="50" t="str">
        <f>IF(ABS(M148-N148)&lt;0.001,"OK","REVIEW")</f>
        <v>OK</v>
      </c>
      <c r="P148" s="53">
        <f>DATE(YEAR(D148),MONTH(D148),1)</f>
        <v>45474</v>
      </c>
    </row>
    <row r="149" ht="19" customHeight="1">
      <c r="A149" s="46" t="n">
        <v>3375</v>
      </c>
      <c r="B149" s="46" t="inlineStr">
        <is>
          <t>Héctor Silva</t>
        </is>
      </c>
      <c r="C149" s="46" t="inlineStr">
        <is>
          <t>Core</t>
        </is>
      </c>
      <c r="D149" s="47" t="n">
        <v>45492</v>
      </c>
      <c r="E149" s="46" t="inlineStr">
        <is>
          <t>No</t>
        </is>
      </c>
      <c r="F149" s="48" t="n">
        <v>5</v>
      </c>
      <c r="G149" s="46" t="inlineStr">
        <is>
          <t>Monthly</t>
        </is>
      </c>
      <c r="H149" s="46" t="inlineStr">
        <is>
          <t>No</t>
        </is>
      </c>
      <c r="I149" s="48" t="n">
        <v>0</v>
      </c>
      <c r="J149" s="46" t="inlineStr">
        <is>
          <t>No</t>
        </is>
      </c>
      <c r="K149" s="48" t="n">
        <v>0</v>
      </c>
      <c r="L149" s="48" t="n">
        <v>2</v>
      </c>
      <c r="M149" s="48" t="n">
        <v>3</v>
      </c>
      <c r="N149" s="48">
        <f>F149+I149+K149-L149</f>
        <v>3</v>
      </c>
      <c r="O149" s="46" t="str">
        <f>IF(ABS(M149-N149)&lt;0.001,"OK","REVIEW")</f>
        <v>OK</v>
      </c>
      <c r="P149" s="49">
        <f>DATE(YEAR(D149),MONTH(D149),1)</f>
        <v>45474</v>
      </c>
    </row>
    <row r="150" ht="19" customHeight="1">
      <c r="A150" s="50" t="n">
        <v>3376</v>
      </c>
      <c r="B150" s="50" t="inlineStr">
        <is>
          <t>Igor Martins</t>
        </is>
      </c>
      <c r="C150" s="50" t="inlineStr">
        <is>
          <t>Ultimate</t>
        </is>
      </c>
      <c r="D150" s="51" t="n">
        <v>45493</v>
      </c>
      <c r="E150" s="50" t="inlineStr">
        <is>
          <t>Yes</t>
        </is>
      </c>
      <c r="F150" s="52" t="n">
        <v>15</v>
      </c>
      <c r="G150" s="50" t="inlineStr">
        <is>
          <t>Annual</t>
        </is>
      </c>
      <c r="H150" s="50" t="inlineStr">
        <is>
          <t>Yes</t>
        </is>
      </c>
      <c r="I150" s="52" t="n">
        <v>30</v>
      </c>
      <c r="J150" s="50" t="inlineStr">
        <is>
          <t>Yes</t>
        </is>
      </c>
      <c r="K150" s="52" t="n">
        <v>20</v>
      </c>
      <c r="L150" s="52" t="n">
        <v>5</v>
      </c>
      <c r="M150" s="52" t="n">
        <v>60</v>
      </c>
      <c r="N150" s="52">
        <f>F150+I150+K150-L150</f>
        <v>60</v>
      </c>
      <c r="O150" s="50" t="str">
        <f>IF(ABS(M150-N150)&lt;0.001,"OK","REVIEW")</f>
        <v>OK</v>
      </c>
      <c r="P150" s="53">
        <f>DATE(YEAR(D150),MONTH(D150),1)</f>
        <v>45474</v>
      </c>
    </row>
    <row r="151" ht="19" customHeight="1">
      <c r="A151" s="46" t="n">
        <v>3377</v>
      </c>
      <c r="B151" s="46" t="inlineStr">
        <is>
          <t>Joana Figueiredo</t>
        </is>
      </c>
      <c r="C151" s="46" t="inlineStr">
        <is>
          <t>Standard</t>
        </is>
      </c>
      <c r="D151" s="47" t="n">
        <v>45494</v>
      </c>
      <c r="E151" s="46" t="inlineStr">
        <is>
          <t>No</t>
        </is>
      </c>
      <c r="F151" s="48" t="n">
        <v>10</v>
      </c>
      <c r="G151" s="46" t="inlineStr">
        <is>
          <t>Monthly</t>
        </is>
      </c>
      <c r="H151" s="46" t="inlineStr">
        <is>
          <t>No</t>
        </is>
      </c>
      <c r="I151" s="48" t="n">
        <v>0</v>
      </c>
      <c r="J151" s="46" t="inlineStr">
        <is>
          <t>Yes</t>
        </is>
      </c>
      <c r="K151" s="48" t="n">
        <v>20</v>
      </c>
      <c r="L151" s="48" t="n">
        <v>10</v>
      </c>
      <c r="M151" s="48" t="n">
        <v>20</v>
      </c>
      <c r="N151" s="48">
        <f>F151+I151+K151-L151</f>
        <v>20</v>
      </c>
      <c r="O151" s="46" t="str">
        <f>IF(ABS(M151-N151)&lt;0.001,"OK","REVIEW")</f>
        <v>OK</v>
      </c>
      <c r="P151" s="49">
        <f>DATE(YEAR(D151),MONTH(D151),1)</f>
        <v>45474</v>
      </c>
    </row>
    <row r="152" ht="19" customHeight="1">
      <c r="A152" s="50" t="n">
        <v>3378</v>
      </c>
      <c r="B152" s="50" t="inlineStr">
        <is>
          <t>Kleber Machado</t>
        </is>
      </c>
      <c r="C152" s="50" t="inlineStr">
        <is>
          <t>Core</t>
        </is>
      </c>
      <c r="D152" s="51" t="n">
        <v>45495</v>
      </c>
      <c r="E152" s="50" t="inlineStr">
        <is>
          <t>Yes</t>
        </is>
      </c>
      <c r="F152" s="52" t="n">
        <v>5</v>
      </c>
      <c r="G152" s="50" t="inlineStr">
        <is>
          <t>Quarterly</t>
        </is>
      </c>
      <c r="H152" s="50" t="inlineStr">
        <is>
          <t>No</t>
        </is>
      </c>
      <c r="I152" s="52" t="n">
        <v>0</v>
      </c>
      <c r="J152" s="50" t="inlineStr">
        <is>
          <t>No</t>
        </is>
      </c>
      <c r="K152" s="52" t="n">
        <v>0</v>
      </c>
      <c r="L152" s="52" t="n">
        <v>0</v>
      </c>
      <c r="M152" s="52" t="n">
        <v>5</v>
      </c>
      <c r="N152" s="52">
        <f>F152+I152+K152-L152</f>
        <v>5</v>
      </c>
      <c r="O152" s="50" t="str">
        <f>IF(ABS(M152-N152)&lt;0.001,"OK","REVIEW")</f>
        <v>OK</v>
      </c>
      <c r="P152" s="53">
        <f>DATE(YEAR(D152),MONTH(D152),1)</f>
        <v>45474</v>
      </c>
    </row>
    <row r="153" ht="19" customHeight="1">
      <c r="A153" s="46" t="n">
        <v>3379</v>
      </c>
      <c r="B153" s="46" t="inlineStr">
        <is>
          <t>Luciana Santos</t>
        </is>
      </c>
      <c r="C153" s="46" t="inlineStr">
        <is>
          <t>Ultimate</t>
        </is>
      </c>
      <c r="D153" s="47" t="n">
        <v>45496</v>
      </c>
      <c r="E153" s="46" t="inlineStr">
        <is>
          <t>No</t>
        </is>
      </c>
      <c r="F153" s="48" t="n">
        <v>15</v>
      </c>
      <c r="G153" s="46" t="inlineStr">
        <is>
          <t>Monthly</t>
        </is>
      </c>
      <c r="H153" s="46" t="inlineStr">
        <is>
          <t>Yes</t>
        </is>
      </c>
      <c r="I153" s="48" t="n">
        <v>30</v>
      </c>
      <c r="J153" s="46" t="inlineStr">
        <is>
          <t>Yes</t>
        </is>
      </c>
      <c r="K153" s="48" t="n">
        <v>20</v>
      </c>
      <c r="L153" s="48" t="n">
        <v>3</v>
      </c>
      <c r="M153" s="48" t="n">
        <v>62</v>
      </c>
      <c r="N153" s="48">
        <f>F153+I153+K153-L153</f>
        <v>62</v>
      </c>
      <c r="O153" s="46" t="str">
        <f>IF(ABS(M153-N153)&lt;0.001,"OK","REVIEW")</f>
        <v>OK</v>
      </c>
      <c r="P153" s="49">
        <f>DATE(YEAR(D153),MONTH(D153),1)</f>
        <v>45474</v>
      </c>
    </row>
    <row r="154" ht="19" customHeight="1">
      <c r="A154" s="50" t="n">
        <v>3380</v>
      </c>
      <c r="B154" s="50" t="inlineStr">
        <is>
          <t>Marcos Teixeira</t>
        </is>
      </c>
      <c r="C154" s="50" t="inlineStr">
        <is>
          <t>Standard</t>
        </is>
      </c>
      <c r="D154" s="51" t="n">
        <v>45497</v>
      </c>
      <c r="E154" s="50" t="inlineStr">
        <is>
          <t>Yes</t>
        </is>
      </c>
      <c r="F154" s="52" t="n">
        <v>10</v>
      </c>
      <c r="G154" s="50" t="inlineStr">
        <is>
          <t>Annual</t>
        </is>
      </c>
      <c r="H154" s="50" t="inlineStr">
        <is>
          <t>No</t>
        </is>
      </c>
      <c r="I154" s="52" t="n">
        <v>0</v>
      </c>
      <c r="J154" s="50" t="inlineStr">
        <is>
          <t>Yes</t>
        </is>
      </c>
      <c r="K154" s="52" t="n">
        <v>20</v>
      </c>
      <c r="L154" s="52" t="n">
        <v>15</v>
      </c>
      <c r="M154" s="52" t="n">
        <v>15</v>
      </c>
      <c r="N154" s="52">
        <f>F154+I154+K154-L154</f>
        <v>15</v>
      </c>
      <c r="O154" s="50" t="str">
        <f>IF(ABS(M154-N154)&lt;0.001,"OK","REVIEW")</f>
        <v>OK</v>
      </c>
      <c r="P154" s="53">
        <f>DATE(YEAR(D154),MONTH(D154),1)</f>
        <v>45474</v>
      </c>
    </row>
    <row r="155" ht="19" customHeight="1">
      <c r="A155" s="46" t="n">
        <v>3381</v>
      </c>
      <c r="B155" s="46" t="inlineStr">
        <is>
          <t>Natalia Costa</t>
        </is>
      </c>
      <c r="C155" s="46" t="inlineStr">
        <is>
          <t>Core</t>
        </is>
      </c>
      <c r="D155" s="47" t="n">
        <v>45498</v>
      </c>
      <c r="E155" s="46" t="inlineStr">
        <is>
          <t>No</t>
        </is>
      </c>
      <c r="F155" s="48" t="n">
        <v>5</v>
      </c>
      <c r="G155" s="46" t="inlineStr">
        <is>
          <t>Monthly</t>
        </is>
      </c>
      <c r="H155" s="46" t="inlineStr">
        <is>
          <t>No</t>
        </is>
      </c>
      <c r="I155" s="48" t="n">
        <v>0</v>
      </c>
      <c r="J155" s="46" t="inlineStr">
        <is>
          <t>No</t>
        </is>
      </c>
      <c r="K155" s="48" t="n">
        <v>0</v>
      </c>
      <c r="L155" s="48" t="n">
        <v>1</v>
      </c>
      <c r="M155" s="48" t="n">
        <v>4</v>
      </c>
      <c r="N155" s="48">
        <f>F155+I155+K155-L155</f>
        <v>4</v>
      </c>
      <c r="O155" s="46" t="str">
        <f>IF(ABS(M155-N155)&lt;0.001,"OK","REVIEW")</f>
        <v>OK</v>
      </c>
      <c r="P155" s="49">
        <f>DATE(YEAR(D155),MONTH(D155),1)</f>
        <v>45474</v>
      </c>
    </row>
    <row r="156" ht="19" customHeight="1">
      <c r="A156" s="50" t="n">
        <v>3382</v>
      </c>
      <c r="B156" s="50" t="inlineStr">
        <is>
          <t>Oscar Ribeiro</t>
        </is>
      </c>
      <c r="C156" s="50" t="inlineStr">
        <is>
          <t>Ultimate</t>
        </is>
      </c>
      <c r="D156" s="51" t="n">
        <v>45499</v>
      </c>
      <c r="E156" s="50" t="inlineStr">
        <is>
          <t>Yes</t>
        </is>
      </c>
      <c r="F156" s="52" t="n">
        <v>15</v>
      </c>
      <c r="G156" s="50" t="inlineStr">
        <is>
          <t>Quarterly</t>
        </is>
      </c>
      <c r="H156" s="50" t="inlineStr">
        <is>
          <t>Yes</t>
        </is>
      </c>
      <c r="I156" s="52" t="n">
        <v>30</v>
      </c>
      <c r="J156" s="50" t="inlineStr">
        <is>
          <t>Yes</t>
        </is>
      </c>
      <c r="K156" s="52" t="n">
        <v>20</v>
      </c>
      <c r="L156" s="52" t="n">
        <v>7</v>
      </c>
      <c r="M156" s="52" t="n">
        <v>58</v>
      </c>
      <c r="N156" s="52">
        <f>F156+I156+K156-L156</f>
        <v>58</v>
      </c>
      <c r="O156" s="50" t="str">
        <f>IF(ABS(M156-N156)&lt;0.001,"OK","REVIEW")</f>
        <v>OK</v>
      </c>
      <c r="P156" s="53">
        <f>DATE(YEAR(D156),MONTH(D156),1)</f>
        <v>45474</v>
      </c>
    </row>
    <row r="157" ht="19" customHeight="1">
      <c r="A157" s="46" t="n">
        <v>3383</v>
      </c>
      <c r="B157" s="46" t="inlineStr">
        <is>
          <t>Patricia Almeida</t>
        </is>
      </c>
      <c r="C157" s="46" t="inlineStr">
        <is>
          <t>Standard</t>
        </is>
      </c>
      <c r="D157" s="47" t="n">
        <v>45500</v>
      </c>
      <c r="E157" s="46" t="inlineStr">
        <is>
          <t>No</t>
        </is>
      </c>
      <c r="F157" s="48" t="n">
        <v>10</v>
      </c>
      <c r="G157" s="46" t="inlineStr">
        <is>
          <t>Monthly</t>
        </is>
      </c>
      <c r="H157" s="46" t="inlineStr">
        <is>
          <t>No</t>
        </is>
      </c>
      <c r="I157" s="48" t="n">
        <v>0</v>
      </c>
      <c r="J157" s="46" t="inlineStr">
        <is>
          <t>Yes</t>
        </is>
      </c>
      <c r="K157" s="48" t="n">
        <v>20</v>
      </c>
      <c r="L157" s="48" t="n">
        <v>10</v>
      </c>
      <c r="M157" s="48" t="n">
        <v>20</v>
      </c>
      <c r="N157" s="48">
        <f>F157+I157+K157-L157</f>
        <v>20</v>
      </c>
      <c r="O157" s="46" t="str">
        <f>IF(ABS(M157-N157)&lt;0.001,"OK","REVIEW")</f>
        <v>OK</v>
      </c>
      <c r="P157" s="49">
        <f>DATE(YEAR(D157),MONTH(D157),1)</f>
        <v>45474</v>
      </c>
    </row>
    <row r="158" ht="19" customHeight="1">
      <c r="A158" s="50" t="n">
        <v>3384</v>
      </c>
      <c r="B158" s="50" t="inlineStr">
        <is>
          <t>Quirino Junior</t>
        </is>
      </c>
      <c r="C158" s="50" t="inlineStr">
        <is>
          <t>Core</t>
        </is>
      </c>
      <c r="D158" s="51" t="n">
        <v>45501</v>
      </c>
      <c r="E158" s="50" t="inlineStr">
        <is>
          <t>Yes</t>
        </is>
      </c>
      <c r="F158" s="52" t="n">
        <v>5</v>
      </c>
      <c r="G158" s="50" t="inlineStr">
        <is>
          <t>Annual</t>
        </is>
      </c>
      <c r="H158" s="50" t="inlineStr">
        <is>
          <t>No</t>
        </is>
      </c>
      <c r="I158" s="52" t="n">
        <v>0</v>
      </c>
      <c r="J158" s="50" t="inlineStr">
        <is>
          <t>No</t>
        </is>
      </c>
      <c r="K158" s="52" t="n">
        <v>0</v>
      </c>
      <c r="L158" s="52" t="n">
        <v>0</v>
      </c>
      <c r="M158" s="52" t="n">
        <v>5</v>
      </c>
      <c r="N158" s="52">
        <f>F158+I158+K158-L158</f>
        <v>5</v>
      </c>
      <c r="O158" s="50" t="str">
        <f>IF(ABS(M158-N158)&lt;0.001,"OK","REVIEW")</f>
        <v>OK</v>
      </c>
      <c r="P158" s="53">
        <f>DATE(YEAR(D158),MONTH(D158),1)</f>
        <v>45474</v>
      </c>
    </row>
    <row r="159" ht="19" customHeight="1">
      <c r="A159" s="46" t="n">
        <v>3385</v>
      </c>
      <c r="B159" s="46" t="inlineStr">
        <is>
          <t>Renata Machado</t>
        </is>
      </c>
      <c r="C159" s="46" t="inlineStr">
        <is>
          <t>Ultimate</t>
        </is>
      </c>
      <c r="D159" s="47" t="n">
        <v>45502</v>
      </c>
      <c r="E159" s="46" t="inlineStr">
        <is>
          <t>No</t>
        </is>
      </c>
      <c r="F159" s="48" t="n">
        <v>15</v>
      </c>
      <c r="G159" s="46" t="inlineStr">
        <is>
          <t>Monthly</t>
        </is>
      </c>
      <c r="H159" s="46" t="inlineStr">
        <is>
          <t>Yes</t>
        </is>
      </c>
      <c r="I159" s="48" t="n">
        <v>30</v>
      </c>
      <c r="J159" s="46" t="inlineStr">
        <is>
          <t>Yes</t>
        </is>
      </c>
      <c r="K159" s="48" t="n">
        <v>20</v>
      </c>
      <c r="L159" s="48" t="n">
        <v>20</v>
      </c>
      <c r="M159" s="48" t="n">
        <v>45</v>
      </c>
      <c r="N159" s="48">
        <f>F159+I159+K159-L159</f>
        <v>45</v>
      </c>
      <c r="O159" s="46" t="str">
        <f>IF(ABS(M159-N159)&lt;0.001,"OK","REVIEW")</f>
        <v>OK</v>
      </c>
      <c r="P159" s="49">
        <f>DATE(YEAR(D159),MONTH(D159),1)</f>
        <v>45474</v>
      </c>
    </row>
    <row r="160" ht="19" customHeight="1">
      <c r="A160" s="50" t="n">
        <v>3386</v>
      </c>
      <c r="B160" s="50" t="inlineStr">
        <is>
          <t>Sônia Alves</t>
        </is>
      </c>
      <c r="C160" s="50" t="inlineStr">
        <is>
          <t>Standard</t>
        </is>
      </c>
      <c r="D160" s="51" t="n">
        <v>45503</v>
      </c>
      <c r="E160" s="50" t="inlineStr">
        <is>
          <t>Yes</t>
        </is>
      </c>
      <c r="F160" s="52" t="n">
        <v>10</v>
      </c>
      <c r="G160" s="50" t="inlineStr">
        <is>
          <t>Quarterly</t>
        </is>
      </c>
      <c r="H160" s="50" t="inlineStr">
        <is>
          <t>No</t>
        </is>
      </c>
      <c r="I160" s="52" t="n">
        <v>0</v>
      </c>
      <c r="J160" s="50" t="inlineStr">
        <is>
          <t>Yes</t>
        </is>
      </c>
      <c r="K160" s="52" t="n">
        <v>20</v>
      </c>
      <c r="L160" s="52" t="n">
        <v>15</v>
      </c>
      <c r="M160" s="52" t="n">
        <v>15</v>
      </c>
      <c r="N160" s="52">
        <f>F160+I160+K160-L160</f>
        <v>15</v>
      </c>
      <c r="O160" s="50" t="str">
        <f>IF(ABS(M160-N160)&lt;0.001,"OK","REVIEW")</f>
        <v>OK</v>
      </c>
      <c r="P160" s="53">
        <f>DATE(YEAR(D160),MONTH(D160),1)</f>
        <v>45474</v>
      </c>
    </row>
    <row r="161" ht="19" customHeight="1">
      <c r="A161" s="46" t="n">
        <v>3387</v>
      </c>
      <c r="B161" s="46" t="inlineStr">
        <is>
          <t>Tiago Nunes</t>
        </is>
      </c>
      <c r="C161" s="46" t="inlineStr">
        <is>
          <t>Core</t>
        </is>
      </c>
      <c r="D161" s="47" t="n">
        <v>45504</v>
      </c>
      <c r="E161" s="46" t="inlineStr">
        <is>
          <t>No</t>
        </is>
      </c>
      <c r="F161" s="48" t="n">
        <v>5</v>
      </c>
      <c r="G161" s="46" t="inlineStr">
        <is>
          <t>Monthly</t>
        </is>
      </c>
      <c r="H161" s="46" t="inlineStr">
        <is>
          <t>No</t>
        </is>
      </c>
      <c r="I161" s="48" t="n">
        <v>0</v>
      </c>
      <c r="J161" s="46" t="inlineStr">
        <is>
          <t>No</t>
        </is>
      </c>
      <c r="K161" s="48" t="n">
        <v>0</v>
      </c>
      <c r="L161" s="48" t="n">
        <v>1</v>
      </c>
      <c r="M161" s="48" t="n">
        <v>4</v>
      </c>
      <c r="N161" s="48">
        <f>F161+I161+K161-L161</f>
        <v>4</v>
      </c>
      <c r="O161" s="46" t="str">
        <f>IF(ABS(M161-N161)&lt;0.001,"OK","REVIEW")</f>
        <v>OK</v>
      </c>
      <c r="P161" s="49">
        <f>DATE(YEAR(D161),MONTH(D161),1)</f>
        <v>45474</v>
      </c>
    </row>
    <row r="162" ht="19" customHeight="1">
      <c r="A162" s="50" t="n">
        <v>3388</v>
      </c>
      <c r="B162" s="50" t="inlineStr">
        <is>
          <t>Ulysses Pereira</t>
        </is>
      </c>
      <c r="C162" s="50" t="inlineStr">
        <is>
          <t>Ultimate</t>
        </is>
      </c>
      <c r="D162" s="51" t="n">
        <v>45505</v>
      </c>
      <c r="E162" s="50" t="inlineStr">
        <is>
          <t>Yes</t>
        </is>
      </c>
      <c r="F162" s="52" t="n">
        <v>15</v>
      </c>
      <c r="G162" s="50" t="inlineStr">
        <is>
          <t>Annual</t>
        </is>
      </c>
      <c r="H162" s="50" t="inlineStr">
        <is>
          <t>Yes</t>
        </is>
      </c>
      <c r="I162" s="52" t="n">
        <v>30</v>
      </c>
      <c r="J162" s="50" t="inlineStr">
        <is>
          <t>Yes</t>
        </is>
      </c>
      <c r="K162" s="52" t="n">
        <v>20</v>
      </c>
      <c r="L162" s="52" t="n">
        <v>3</v>
      </c>
      <c r="M162" s="52" t="n">
        <v>62</v>
      </c>
      <c r="N162" s="52">
        <f>F162+I162+K162-L162</f>
        <v>62</v>
      </c>
      <c r="O162" s="50" t="str">
        <f>IF(ABS(M162-N162)&lt;0.001,"OK","REVIEW")</f>
        <v>OK</v>
      </c>
      <c r="P162" s="53">
        <f>DATE(YEAR(D162),MONTH(D162),1)</f>
        <v>45505</v>
      </c>
    </row>
    <row r="163" ht="19" customHeight="1">
      <c r="A163" s="46" t="n">
        <v>3389</v>
      </c>
      <c r="B163" s="46" t="inlineStr">
        <is>
          <t>Vanessa Lima</t>
        </is>
      </c>
      <c r="C163" s="46" t="inlineStr">
        <is>
          <t>Standard</t>
        </is>
      </c>
      <c r="D163" s="47" t="n">
        <v>45506</v>
      </c>
      <c r="E163" s="46" t="inlineStr">
        <is>
          <t>No</t>
        </is>
      </c>
      <c r="F163" s="48" t="n">
        <v>10</v>
      </c>
      <c r="G163" s="46" t="inlineStr">
        <is>
          <t>Monthly</t>
        </is>
      </c>
      <c r="H163" s="46" t="inlineStr">
        <is>
          <t>No</t>
        </is>
      </c>
      <c r="I163" s="48" t="n">
        <v>0</v>
      </c>
      <c r="J163" s="46" t="inlineStr">
        <is>
          <t>Yes</t>
        </is>
      </c>
      <c r="K163" s="48" t="n">
        <v>20</v>
      </c>
      <c r="L163" s="48" t="n">
        <v>10</v>
      </c>
      <c r="M163" s="48" t="n">
        <v>20</v>
      </c>
      <c r="N163" s="48">
        <f>F163+I163+K163-L163</f>
        <v>20</v>
      </c>
      <c r="O163" s="46" t="str">
        <f>IF(ABS(M163-N163)&lt;0.001,"OK","REVIEW")</f>
        <v>OK</v>
      </c>
      <c r="P163" s="49">
        <f>DATE(YEAR(D163),MONTH(D163),1)</f>
        <v>45505</v>
      </c>
    </row>
    <row r="164" ht="19" customHeight="1">
      <c r="A164" s="50" t="n">
        <v>3390</v>
      </c>
      <c r="B164" s="50" t="inlineStr">
        <is>
          <t>Wagner Santos</t>
        </is>
      </c>
      <c r="C164" s="50" t="inlineStr">
        <is>
          <t>Core</t>
        </is>
      </c>
      <c r="D164" s="51" t="n">
        <v>45507</v>
      </c>
      <c r="E164" s="50" t="inlineStr">
        <is>
          <t>Yes</t>
        </is>
      </c>
      <c r="F164" s="52" t="n">
        <v>5</v>
      </c>
      <c r="G164" s="50" t="inlineStr">
        <is>
          <t>Quarterly</t>
        </is>
      </c>
      <c r="H164" s="50" t="inlineStr">
        <is>
          <t>No</t>
        </is>
      </c>
      <c r="I164" s="52" t="n">
        <v>0</v>
      </c>
      <c r="J164" s="50" t="inlineStr">
        <is>
          <t>No</t>
        </is>
      </c>
      <c r="K164" s="52" t="n">
        <v>0</v>
      </c>
      <c r="L164" s="52" t="n">
        <v>0</v>
      </c>
      <c r="M164" s="52" t="n">
        <v>5</v>
      </c>
      <c r="N164" s="52">
        <f>F164+I164+K164-L164</f>
        <v>5</v>
      </c>
      <c r="O164" s="50" t="str">
        <f>IF(ABS(M164-N164)&lt;0.001,"OK","REVIEW")</f>
        <v>OK</v>
      </c>
      <c r="P164" s="53">
        <f>DATE(YEAR(D164),MONTH(D164),1)</f>
        <v>45505</v>
      </c>
    </row>
    <row r="165" ht="19" customHeight="1">
      <c r="A165" s="46" t="n">
        <v>3391</v>
      </c>
      <c r="B165" s="46" t="inlineStr">
        <is>
          <t>Xuxa Meneghel</t>
        </is>
      </c>
      <c r="C165" s="46" t="inlineStr">
        <is>
          <t>Ultimate</t>
        </is>
      </c>
      <c r="D165" s="47" t="n">
        <v>45508</v>
      </c>
      <c r="E165" s="46" t="inlineStr">
        <is>
          <t>No</t>
        </is>
      </c>
      <c r="F165" s="48" t="n">
        <v>15</v>
      </c>
      <c r="G165" s="46" t="inlineStr">
        <is>
          <t>Monthly</t>
        </is>
      </c>
      <c r="H165" s="46" t="inlineStr">
        <is>
          <t>Yes</t>
        </is>
      </c>
      <c r="I165" s="48" t="n">
        <v>30</v>
      </c>
      <c r="J165" s="46" t="inlineStr">
        <is>
          <t>Yes</t>
        </is>
      </c>
      <c r="K165" s="48" t="n">
        <v>20</v>
      </c>
      <c r="L165" s="48" t="n">
        <v>15</v>
      </c>
      <c r="M165" s="48" t="n">
        <v>50</v>
      </c>
      <c r="N165" s="48">
        <f>F165+I165+K165-L165</f>
        <v>50</v>
      </c>
      <c r="O165" s="46" t="str">
        <f>IF(ABS(M165-N165)&lt;0.001,"OK","REVIEW")</f>
        <v>OK</v>
      </c>
      <c r="P165" s="49">
        <f>DATE(YEAR(D165),MONTH(D165),1)</f>
        <v>45505</v>
      </c>
    </row>
    <row r="166" ht="19" customHeight="1">
      <c r="A166" s="50" t="n">
        <v>3392</v>
      </c>
      <c r="B166" s="50" t="inlineStr">
        <is>
          <t>Yasmin Silva</t>
        </is>
      </c>
      <c r="C166" s="50" t="inlineStr">
        <is>
          <t>Standard</t>
        </is>
      </c>
      <c r="D166" s="51" t="n">
        <v>45509</v>
      </c>
      <c r="E166" s="50" t="inlineStr">
        <is>
          <t>Yes</t>
        </is>
      </c>
      <c r="F166" s="52" t="n">
        <v>10</v>
      </c>
      <c r="G166" s="50" t="inlineStr">
        <is>
          <t>Annual</t>
        </is>
      </c>
      <c r="H166" s="50" t="inlineStr">
        <is>
          <t>No</t>
        </is>
      </c>
      <c r="I166" s="52" t="n">
        <v>0</v>
      </c>
      <c r="J166" s="50" t="inlineStr">
        <is>
          <t>Yes</t>
        </is>
      </c>
      <c r="K166" s="52" t="n">
        <v>20</v>
      </c>
      <c r="L166" s="52" t="n">
        <v>15</v>
      </c>
      <c r="M166" s="52" t="n">
        <v>15</v>
      </c>
      <c r="N166" s="52">
        <f>F166+I166+K166-L166</f>
        <v>15</v>
      </c>
      <c r="O166" s="50" t="str">
        <f>IF(ABS(M166-N166)&lt;0.001,"OK","REVIEW")</f>
        <v>OK</v>
      </c>
      <c r="P166" s="53">
        <f>DATE(YEAR(D166),MONTH(D166),1)</f>
        <v>45505</v>
      </c>
    </row>
    <row r="167" ht="19" customHeight="1">
      <c r="A167" s="46" t="n">
        <v>3393</v>
      </c>
      <c r="B167" s="46" t="inlineStr">
        <is>
          <t>Zacarias de Souza</t>
        </is>
      </c>
      <c r="C167" s="46" t="inlineStr">
        <is>
          <t>Core</t>
        </is>
      </c>
      <c r="D167" s="47" t="n">
        <v>45510</v>
      </c>
      <c r="E167" s="46" t="inlineStr">
        <is>
          <t>No</t>
        </is>
      </c>
      <c r="F167" s="48" t="n">
        <v>5</v>
      </c>
      <c r="G167" s="46" t="inlineStr">
        <is>
          <t>Monthly</t>
        </is>
      </c>
      <c r="H167" s="46" t="inlineStr">
        <is>
          <t>No</t>
        </is>
      </c>
      <c r="I167" s="48" t="n">
        <v>0</v>
      </c>
      <c r="J167" s="46" t="inlineStr">
        <is>
          <t>No</t>
        </is>
      </c>
      <c r="K167" s="48" t="n">
        <v>0</v>
      </c>
      <c r="L167" s="48" t="n">
        <v>1</v>
      </c>
      <c r="M167" s="48" t="n">
        <v>4</v>
      </c>
      <c r="N167" s="48">
        <f>F167+I167+K167-L167</f>
        <v>4</v>
      </c>
      <c r="O167" s="46" t="str">
        <f>IF(ABS(M167-N167)&lt;0.001,"OK","REVIEW")</f>
        <v>OK</v>
      </c>
      <c r="P167" s="49">
        <f>DATE(YEAR(D167),MONTH(D167),1)</f>
        <v>45505</v>
      </c>
    </row>
    <row r="168" ht="19" customHeight="1">
      <c r="A168" s="50" t="n">
        <v>3394</v>
      </c>
      <c r="B168" s="50" t="inlineStr">
        <is>
          <t>André Lima</t>
        </is>
      </c>
      <c r="C168" s="50" t="inlineStr">
        <is>
          <t>Ultimate</t>
        </is>
      </c>
      <c r="D168" s="51" t="n">
        <v>45511</v>
      </c>
      <c r="E168" s="50" t="inlineStr">
        <is>
          <t>Yes</t>
        </is>
      </c>
      <c r="F168" s="52" t="n">
        <v>15</v>
      </c>
      <c r="G168" s="50" t="inlineStr">
        <is>
          <t>Quarterly</t>
        </is>
      </c>
      <c r="H168" s="50" t="inlineStr">
        <is>
          <t>Yes</t>
        </is>
      </c>
      <c r="I168" s="52" t="n">
        <v>30</v>
      </c>
      <c r="J168" s="50" t="inlineStr">
        <is>
          <t>Yes</t>
        </is>
      </c>
      <c r="K168" s="52" t="n">
        <v>20</v>
      </c>
      <c r="L168" s="52" t="n">
        <v>7</v>
      </c>
      <c r="M168" s="52" t="n">
        <v>58</v>
      </c>
      <c r="N168" s="52">
        <f>F168+I168+K168-L168</f>
        <v>58</v>
      </c>
      <c r="O168" s="50" t="str">
        <f>IF(ABS(M168-N168)&lt;0.001,"OK","REVIEW")</f>
        <v>OK</v>
      </c>
      <c r="P168" s="53">
        <f>DATE(YEAR(D168),MONTH(D168),1)</f>
        <v>45505</v>
      </c>
    </row>
    <row r="169" ht="19" customHeight="1">
      <c r="A169" s="46" t="n">
        <v>3395</v>
      </c>
      <c r="B169" s="46" t="inlineStr">
        <is>
          <t>Bianca Freitas</t>
        </is>
      </c>
      <c r="C169" s="46" t="inlineStr">
        <is>
          <t>Standard</t>
        </is>
      </c>
      <c r="D169" s="47" t="n">
        <v>45512</v>
      </c>
      <c r="E169" s="46" t="inlineStr">
        <is>
          <t>No</t>
        </is>
      </c>
      <c r="F169" s="48" t="n">
        <v>10</v>
      </c>
      <c r="G169" s="46" t="inlineStr">
        <is>
          <t>Monthly</t>
        </is>
      </c>
      <c r="H169" s="46" t="inlineStr">
        <is>
          <t>No</t>
        </is>
      </c>
      <c r="I169" s="48" t="n">
        <v>0</v>
      </c>
      <c r="J169" s="46" t="inlineStr">
        <is>
          <t>Yes</t>
        </is>
      </c>
      <c r="K169" s="48" t="n">
        <v>20</v>
      </c>
      <c r="L169" s="48" t="n">
        <v>10</v>
      </c>
      <c r="M169" s="48" t="n">
        <v>20</v>
      </c>
      <c r="N169" s="48">
        <f>F169+I169+K169-L169</f>
        <v>20</v>
      </c>
      <c r="O169" s="46" t="str">
        <f>IF(ABS(M169-N169)&lt;0.001,"OK","REVIEW")</f>
        <v>OK</v>
      </c>
      <c r="P169" s="49">
        <f>DATE(YEAR(D169),MONTH(D169),1)</f>
        <v>45505</v>
      </c>
    </row>
    <row r="170" ht="19" customHeight="1">
      <c r="A170" s="50" t="n">
        <v>3396</v>
      </c>
      <c r="B170" s="50" t="inlineStr">
        <is>
          <t>Caio Mendes</t>
        </is>
      </c>
      <c r="C170" s="50" t="inlineStr">
        <is>
          <t>Core</t>
        </is>
      </c>
      <c r="D170" s="51" t="n">
        <v>45513</v>
      </c>
      <c r="E170" s="50" t="inlineStr">
        <is>
          <t>Yes</t>
        </is>
      </c>
      <c r="F170" s="52" t="n">
        <v>5</v>
      </c>
      <c r="G170" s="50" t="inlineStr">
        <is>
          <t>Annual</t>
        </is>
      </c>
      <c r="H170" s="50" t="inlineStr">
        <is>
          <t>No</t>
        </is>
      </c>
      <c r="I170" s="52" t="n">
        <v>0</v>
      </c>
      <c r="J170" s="50" t="inlineStr">
        <is>
          <t>No</t>
        </is>
      </c>
      <c r="K170" s="52" t="n">
        <v>0</v>
      </c>
      <c r="L170" s="52" t="n">
        <v>0</v>
      </c>
      <c r="M170" s="52" t="n">
        <v>5</v>
      </c>
      <c r="N170" s="52">
        <f>F170+I170+K170-L170</f>
        <v>5</v>
      </c>
      <c r="O170" s="50" t="str">
        <f>IF(ABS(M170-N170)&lt;0.001,"OK","REVIEW")</f>
        <v>OK</v>
      </c>
      <c r="P170" s="53">
        <f>DATE(YEAR(D170),MONTH(D170),1)</f>
        <v>45505</v>
      </c>
    </row>
    <row r="171" ht="19" customHeight="1">
      <c r="A171" s="46" t="n">
        <v>3397</v>
      </c>
      <c r="B171" s="46" t="inlineStr">
        <is>
          <t>Daniela Moura</t>
        </is>
      </c>
      <c r="C171" s="46" t="inlineStr">
        <is>
          <t>Ultimate</t>
        </is>
      </c>
      <c r="D171" s="47" t="n">
        <v>45514</v>
      </c>
      <c r="E171" s="46" t="inlineStr">
        <is>
          <t>No</t>
        </is>
      </c>
      <c r="F171" s="48" t="n">
        <v>15</v>
      </c>
      <c r="G171" s="46" t="inlineStr">
        <is>
          <t>Monthly</t>
        </is>
      </c>
      <c r="H171" s="46" t="inlineStr">
        <is>
          <t>Yes</t>
        </is>
      </c>
      <c r="I171" s="48" t="n">
        <v>30</v>
      </c>
      <c r="J171" s="46" t="inlineStr">
        <is>
          <t>Yes</t>
        </is>
      </c>
      <c r="K171" s="48" t="n">
        <v>20</v>
      </c>
      <c r="L171" s="48" t="n">
        <v>20</v>
      </c>
      <c r="M171" s="48" t="n">
        <v>45</v>
      </c>
      <c r="N171" s="48">
        <f>F171+I171+K171-L171</f>
        <v>45</v>
      </c>
      <c r="O171" s="46" t="str">
        <f>IF(ABS(M171-N171)&lt;0.001,"OK","REVIEW")</f>
        <v>OK</v>
      </c>
      <c r="P171" s="49">
        <f>DATE(YEAR(D171),MONTH(D171),1)</f>
        <v>45505</v>
      </c>
    </row>
    <row r="172" ht="19" customHeight="1">
      <c r="A172" s="50" t="n">
        <v>3398</v>
      </c>
      <c r="B172" s="50" t="inlineStr">
        <is>
          <t>Eduardo Costa</t>
        </is>
      </c>
      <c r="C172" s="50" t="inlineStr">
        <is>
          <t>Standard</t>
        </is>
      </c>
      <c r="D172" s="51" t="n">
        <v>45515</v>
      </c>
      <c r="E172" s="50" t="inlineStr">
        <is>
          <t>Yes</t>
        </is>
      </c>
      <c r="F172" s="52" t="n">
        <v>10</v>
      </c>
      <c r="G172" s="50" t="inlineStr">
        <is>
          <t>Quarterly</t>
        </is>
      </c>
      <c r="H172" s="50" t="inlineStr">
        <is>
          <t>No</t>
        </is>
      </c>
      <c r="I172" s="52" t="n">
        <v>0</v>
      </c>
      <c r="J172" s="50" t="inlineStr">
        <is>
          <t>Yes</t>
        </is>
      </c>
      <c r="K172" s="52" t="n">
        <v>20</v>
      </c>
      <c r="L172" s="52" t="n">
        <v>15</v>
      </c>
      <c r="M172" s="52" t="n">
        <v>15</v>
      </c>
      <c r="N172" s="52">
        <f>F172+I172+K172-L172</f>
        <v>15</v>
      </c>
      <c r="O172" s="50" t="str">
        <f>IF(ABS(M172-N172)&lt;0.001,"OK","REVIEW")</f>
        <v>OK</v>
      </c>
      <c r="P172" s="53">
        <f>DATE(YEAR(D172),MONTH(D172),1)</f>
        <v>45505</v>
      </c>
    </row>
    <row r="173" ht="19" customHeight="1">
      <c r="A173" s="46" t="n">
        <v>3399</v>
      </c>
      <c r="B173" s="46" t="inlineStr">
        <is>
          <t>Fernanda Gomes</t>
        </is>
      </c>
      <c r="C173" s="46" t="inlineStr">
        <is>
          <t>Core</t>
        </is>
      </c>
      <c r="D173" s="47" t="n">
        <v>45516</v>
      </c>
      <c r="E173" s="46" t="inlineStr">
        <is>
          <t>No</t>
        </is>
      </c>
      <c r="F173" s="48" t="n">
        <v>5</v>
      </c>
      <c r="G173" s="46" t="inlineStr">
        <is>
          <t>Monthly</t>
        </is>
      </c>
      <c r="H173" s="46" t="inlineStr">
        <is>
          <t>No</t>
        </is>
      </c>
      <c r="I173" s="48" t="n">
        <v>0</v>
      </c>
      <c r="J173" s="46" t="inlineStr">
        <is>
          <t>No</t>
        </is>
      </c>
      <c r="K173" s="48" t="n">
        <v>0</v>
      </c>
      <c r="L173" s="48" t="n">
        <v>1</v>
      </c>
      <c r="M173" s="48" t="n">
        <v>4</v>
      </c>
      <c r="N173" s="48">
        <f>F173+I173+K173-L173</f>
        <v>4</v>
      </c>
      <c r="O173" s="46" t="str">
        <f>IF(ABS(M173-N173)&lt;0.001,"OK","REVIEW")</f>
        <v>OK</v>
      </c>
      <c r="P173" s="49">
        <f>DATE(YEAR(D173),MONTH(D173),1)</f>
        <v>45505</v>
      </c>
    </row>
    <row r="174" ht="19" customHeight="1">
      <c r="A174" s="50" t="n">
        <v>3400</v>
      </c>
      <c r="B174" s="50" t="inlineStr">
        <is>
          <t>Guilherme Souza</t>
        </is>
      </c>
      <c r="C174" s="50" t="inlineStr">
        <is>
          <t>Ultimate</t>
        </is>
      </c>
      <c r="D174" s="51" t="n">
        <v>45517</v>
      </c>
      <c r="E174" s="50" t="inlineStr">
        <is>
          <t>Yes</t>
        </is>
      </c>
      <c r="F174" s="52" t="n">
        <v>15</v>
      </c>
      <c r="G174" s="50" t="inlineStr">
        <is>
          <t>Annual</t>
        </is>
      </c>
      <c r="H174" s="50" t="inlineStr">
        <is>
          <t>Yes</t>
        </is>
      </c>
      <c r="I174" s="52" t="n">
        <v>30</v>
      </c>
      <c r="J174" s="50" t="inlineStr">
        <is>
          <t>Yes</t>
        </is>
      </c>
      <c r="K174" s="52" t="n">
        <v>20</v>
      </c>
      <c r="L174" s="52" t="n">
        <v>5</v>
      </c>
      <c r="M174" s="52" t="n">
        <v>60</v>
      </c>
      <c r="N174" s="52">
        <f>F174+I174+K174-L174</f>
        <v>60</v>
      </c>
      <c r="O174" s="50" t="str">
        <f>IF(ABS(M174-N174)&lt;0.001,"OK","REVIEW")</f>
        <v>OK</v>
      </c>
      <c r="P174" s="53">
        <f>DATE(YEAR(D174),MONTH(D174),1)</f>
        <v>45505</v>
      </c>
    </row>
    <row r="175" ht="19" customHeight="1">
      <c r="A175" s="46" t="n">
        <v>3401</v>
      </c>
      <c r="B175" s="46" t="inlineStr">
        <is>
          <t>Helena Ribeiro</t>
        </is>
      </c>
      <c r="C175" s="46" t="inlineStr">
        <is>
          <t>Standard</t>
        </is>
      </c>
      <c r="D175" s="47" t="n">
        <v>45518</v>
      </c>
      <c r="E175" s="46" t="inlineStr">
        <is>
          <t>No</t>
        </is>
      </c>
      <c r="F175" s="48" t="n">
        <v>10</v>
      </c>
      <c r="G175" s="46" t="inlineStr">
        <is>
          <t>Monthly</t>
        </is>
      </c>
      <c r="H175" s="46" t="inlineStr">
        <is>
          <t>No</t>
        </is>
      </c>
      <c r="I175" s="48" t="n">
        <v>0</v>
      </c>
      <c r="J175" s="46" t="inlineStr">
        <is>
          <t>Yes</t>
        </is>
      </c>
      <c r="K175" s="48" t="n">
        <v>20</v>
      </c>
      <c r="L175" s="48" t="n">
        <v>10</v>
      </c>
      <c r="M175" s="48" t="n">
        <v>20</v>
      </c>
      <c r="N175" s="48">
        <f>F175+I175+K175-L175</f>
        <v>20</v>
      </c>
      <c r="O175" s="46" t="str">
        <f>IF(ABS(M175-N175)&lt;0.001,"OK","REVIEW")</f>
        <v>OK</v>
      </c>
      <c r="P175" s="49">
        <f>DATE(YEAR(D175),MONTH(D175),1)</f>
        <v>45505</v>
      </c>
    </row>
    <row r="176" ht="19" customHeight="1">
      <c r="A176" s="50" t="n">
        <v>3402</v>
      </c>
      <c r="B176" s="50" t="inlineStr">
        <is>
          <t>Igor Santos</t>
        </is>
      </c>
      <c r="C176" s="50" t="inlineStr">
        <is>
          <t>Core</t>
        </is>
      </c>
      <c r="D176" s="51" t="n">
        <v>45519</v>
      </c>
      <c r="E176" s="50" t="inlineStr">
        <is>
          <t>Yes</t>
        </is>
      </c>
      <c r="F176" s="52" t="n">
        <v>5</v>
      </c>
      <c r="G176" s="50" t="inlineStr">
        <is>
          <t>Quarterly</t>
        </is>
      </c>
      <c r="H176" s="50" t="inlineStr">
        <is>
          <t>No</t>
        </is>
      </c>
      <c r="I176" s="52" t="n">
        <v>0</v>
      </c>
      <c r="J176" s="50" t="inlineStr">
        <is>
          <t>No</t>
        </is>
      </c>
      <c r="K176" s="52" t="n">
        <v>0</v>
      </c>
      <c r="L176" s="52" t="n">
        <v>0</v>
      </c>
      <c r="M176" s="52" t="n">
        <v>5</v>
      </c>
      <c r="N176" s="52">
        <f>F176+I176+K176-L176</f>
        <v>5</v>
      </c>
      <c r="O176" s="50" t="str">
        <f>IF(ABS(M176-N176)&lt;0.001,"OK","REVIEW")</f>
        <v>OK</v>
      </c>
      <c r="P176" s="53">
        <f>DATE(YEAR(D176),MONTH(D176),1)</f>
        <v>45505</v>
      </c>
    </row>
    <row r="177" ht="19" customHeight="1">
      <c r="A177" s="46" t="n">
        <v>3403</v>
      </c>
      <c r="B177" s="46" t="inlineStr">
        <is>
          <t>João Carvalho</t>
        </is>
      </c>
      <c r="C177" s="46" t="inlineStr">
        <is>
          <t>Ultimate</t>
        </is>
      </c>
      <c r="D177" s="47" t="n">
        <v>45520</v>
      </c>
      <c r="E177" s="46" t="inlineStr">
        <is>
          <t>No</t>
        </is>
      </c>
      <c r="F177" s="48" t="n">
        <v>15</v>
      </c>
      <c r="G177" s="46" t="inlineStr">
        <is>
          <t>Monthly</t>
        </is>
      </c>
      <c r="H177" s="46" t="inlineStr">
        <is>
          <t>Yes</t>
        </is>
      </c>
      <c r="I177" s="48" t="n">
        <v>30</v>
      </c>
      <c r="J177" s="46" t="inlineStr">
        <is>
          <t>Yes</t>
        </is>
      </c>
      <c r="K177" s="48" t="n">
        <v>20</v>
      </c>
      <c r="L177" s="48" t="n">
        <v>3</v>
      </c>
      <c r="M177" s="48" t="n">
        <v>62</v>
      </c>
      <c r="N177" s="48">
        <f>F177+I177+K177-L177</f>
        <v>62</v>
      </c>
      <c r="O177" s="46" t="str">
        <f>IF(ABS(M177-N177)&lt;0.001,"OK","REVIEW")</f>
        <v>OK</v>
      </c>
      <c r="P177" s="49">
        <f>DATE(YEAR(D177),MONTH(D177),1)</f>
        <v>45505</v>
      </c>
    </row>
    <row r="178" ht="19" customHeight="1">
      <c r="A178" s="50" t="n">
        <v>3404</v>
      </c>
      <c r="B178" s="50" t="inlineStr">
        <is>
          <t>Klara Fagundes</t>
        </is>
      </c>
      <c r="C178" s="50" t="inlineStr">
        <is>
          <t>Standard</t>
        </is>
      </c>
      <c r="D178" s="51" t="n">
        <v>45521</v>
      </c>
      <c r="E178" s="50" t="inlineStr">
        <is>
          <t>Yes</t>
        </is>
      </c>
      <c r="F178" s="52" t="n">
        <v>10</v>
      </c>
      <c r="G178" s="50" t="inlineStr">
        <is>
          <t>Annual</t>
        </is>
      </c>
      <c r="H178" s="50" t="inlineStr">
        <is>
          <t>No</t>
        </is>
      </c>
      <c r="I178" s="52" t="n">
        <v>0</v>
      </c>
      <c r="J178" s="50" t="inlineStr">
        <is>
          <t>Yes</t>
        </is>
      </c>
      <c r="K178" s="52" t="n">
        <v>20</v>
      </c>
      <c r="L178" s="52" t="n">
        <v>15</v>
      </c>
      <c r="M178" s="52" t="n">
        <v>15</v>
      </c>
      <c r="N178" s="52">
        <f>F178+I178+K178-L178</f>
        <v>15</v>
      </c>
      <c r="O178" s="50" t="str">
        <f>IF(ABS(M178-N178)&lt;0.001,"OK","REVIEW")</f>
        <v>OK</v>
      </c>
      <c r="P178" s="53">
        <f>DATE(YEAR(D178),MONTH(D178),1)</f>
        <v>45505</v>
      </c>
    </row>
    <row r="179" ht="19" customHeight="1">
      <c r="A179" s="46" t="n">
        <v>3405</v>
      </c>
      <c r="B179" s="46" t="inlineStr">
        <is>
          <t>Lúcia Mendonça</t>
        </is>
      </c>
      <c r="C179" s="46" t="inlineStr">
        <is>
          <t>Core</t>
        </is>
      </c>
      <c r="D179" s="47" t="n">
        <v>45522</v>
      </c>
      <c r="E179" s="46" t="inlineStr">
        <is>
          <t>No</t>
        </is>
      </c>
      <c r="F179" s="48" t="n">
        <v>5</v>
      </c>
      <c r="G179" s="46" t="inlineStr">
        <is>
          <t>Monthly</t>
        </is>
      </c>
      <c r="H179" s="46" t="inlineStr">
        <is>
          <t>No</t>
        </is>
      </c>
      <c r="I179" s="48" t="n">
        <v>0</v>
      </c>
      <c r="J179" s="46" t="inlineStr">
        <is>
          <t>No</t>
        </is>
      </c>
      <c r="K179" s="48" t="n">
        <v>0</v>
      </c>
      <c r="L179" s="48" t="n">
        <v>1</v>
      </c>
      <c r="M179" s="48" t="n">
        <v>4</v>
      </c>
      <c r="N179" s="48">
        <f>F179+I179+K179-L179</f>
        <v>4</v>
      </c>
      <c r="O179" s="46" t="str">
        <f>IF(ABS(M179-N179)&lt;0.001,"OK","REVIEW")</f>
        <v>OK</v>
      </c>
      <c r="P179" s="49">
        <f>DATE(YEAR(D179),MONTH(D179),1)</f>
        <v>45505</v>
      </c>
    </row>
    <row r="180" ht="19" customHeight="1">
      <c r="A180" s="50" t="n">
        <v>3406</v>
      </c>
      <c r="B180" s="50" t="inlineStr">
        <is>
          <t>Marcelo Novaes</t>
        </is>
      </c>
      <c r="C180" s="50" t="inlineStr">
        <is>
          <t>Core</t>
        </is>
      </c>
      <c r="D180" s="51" t="n">
        <v>45523</v>
      </c>
      <c r="E180" s="50" t="inlineStr">
        <is>
          <t>Yes</t>
        </is>
      </c>
      <c r="F180" s="52" t="n">
        <v>5</v>
      </c>
      <c r="G180" s="50" t="inlineStr">
        <is>
          <t>Monthly</t>
        </is>
      </c>
      <c r="H180" s="50" t="inlineStr">
        <is>
          <t>No</t>
        </is>
      </c>
      <c r="I180" s="52" t="n">
        <v>0</v>
      </c>
      <c r="J180" s="50" t="inlineStr">
        <is>
          <t>No</t>
        </is>
      </c>
      <c r="K180" s="52" t="n">
        <v>0</v>
      </c>
      <c r="L180" s="52" t="n">
        <v>0</v>
      </c>
      <c r="M180" s="52" t="n">
        <v>5</v>
      </c>
      <c r="N180" s="52">
        <f>F180+I180+K180-L180</f>
        <v>5</v>
      </c>
      <c r="O180" s="50" t="str">
        <f>IF(ABS(M180-N180)&lt;0.001,"OK","REVIEW")</f>
        <v>OK</v>
      </c>
      <c r="P180" s="53">
        <f>DATE(YEAR(D180),MONTH(D180),1)</f>
        <v>45505</v>
      </c>
    </row>
    <row r="181" ht="19" customHeight="1">
      <c r="A181" s="46" t="n">
        <v>3407</v>
      </c>
      <c r="B181" s="46" t="inlineStr">
        <is>
          <t>Nina Pacheco</t>
        </is>
      </c>
      <c r="C181" s="46" t="inlineStr">
        <is>
          <t>Ultimate</t>
        </is>
      </c>
      <c r="D181" s="47" t="n">
        <v>45524</v>
      </c>
      <c r="E181" s="46" t="inlineStr">
        <is>
          <t>No</t>
        </is>
      </c>
      <c r="F181" s="48" t="n">
        <v>15</v>
      </c>
      <c r="G181" s="46" t="inlineStr">
        <is>
          <t>Quarterly</t>
        </is>
      </c>
      <c r="H181" s="46" t="inlineStr">
        <is>
          <t>Yes</t>
        </is>
      </c>
      <c r="I181" s="48" t="n">
        <v>30</v>
      </c>
      <c r="J181" s="46" t="inlineStr">
        <is>
          <t>Yes</t>
        </is>
      </c>
      <c r="K181" s="48" t="n">
        <v>20</v>
      </c>
      <c r="L181" s="48" t="n">
        <v>7</v>
      </c>
      <c r="M181" s="48" t="n">
        <v>58</v>
      </c>
      <c r="N181" s="48">
        <f>F181+I181+K181-L181</f>
        <v>58</v>
      </c>
      <c r="O181" s="46" t="str">
        <f>IF(ABS(M181-N181)&lt;0.001,"OK","REVIEW")</f>
        <v>OK</v>
      </c>
      <c r="P181" s="49">
        <f>DATE(YEAR(D181),MONTH(D181),1)</f>
        <v>45505</v>
      </c>
    </row>
    <row r="182" ht="19" customHeight="1">
      <c r="A182" s="50" t="n">
        <v>3408</v>
      </c>
      <c r="B182" s="50" t="inlineStr">
        <is>
          <t>Olívia Rios</t>
        </is>
      </c>
      <c r="C182" s="50" t="inlineStr">
        <is>
          <t>Standard</t>
        </is>
      </c>
      <c r="D182" s="51" t="n">
        <v>45525</v>
      </c>
      <c r="E182" s="50" t="inlineStr">
        <is>
          <t>Yes</t>
        </is>
      </c>
      <c r="F182" s="52" t="n">
        <v>10</v>
      </c>
      <c r="G182" s="50" t="inlineStr">
        <is>
          <t>Annual</t>
        </is>
      </c>
      <c r="H182" s="50" t="inlineStr">
        <is>
          <t>No</t>
        </is>
      </c>
      <c r="I182" s="52" t="n">
        <v>0</v>
      </c>
      <c r="J182" s="50" t="inlineStr">
        <is>
          <t>Yes</t>
        </is>
      </c>
      <c r="K182" s="52" t="n">
        <v>20</v>
      </c>
      <c r="L182" s="52" t="n">
        <v>10</v>
      </c>
      <c r="M182" s="52" t="n">
        <v>20</v>
      </c>
      <c r="N182" s="52">
        <f>F182+I182+K182-L182</f>
        <v>20</v>
      </c>
      <c r="O182" s="50" t="str">
        <f>IF(ABS(M182-N182)&lt;0.001,"OK","REVIEW")</f>
        <v>OK</v>
      </c>
      <c r="P182" s="53">
        <f>DATE(YEAR(D182),MONTH(D182),1)</f>
        <v>45505</v>
      </c>
    </row>
    <row r="183" ht="19" customHeight="1">
      <c r="A183" s="46" t="n">
        <v>3409</v>
      </c>
      <c r="B183" s="46" t="inlineStr">
        <is>
          <t>Paulo Quintana</t>
        </is>
      </c>
      <c r="C183" s="46" t="inlineStr">
        <is>
          <t>Core</t>
        </is>
      </c>
      <c r="D183" s="47" t="n">
        <v>45526</v>
      </c>
      <c r="E183" s="46" t="inlineStr">
        <is>
          <t>No</t>
        </is>
      </c>
      <c r="F183" s="48" t="n">
        <v>5</v>
      </c>
      <c r="G183" s="46" t="inlineStr">
        <is>
          <t>Quarterly</t>
        </is>
      </c>
      <c r="H183" s="46" t="inlineStr">
        <is>
          <t>No</t>
        </is>
      </c>
      <c r="I183" s="48" t="n">
        <v>0</v>
      </c>
      <c r="J183" s="46" t="inlineStr">
        <is>
          <t>No</t>
        </is>
      </c>
      <c r="K183" s="48" t="n">
        <v>0</v>
      </c>
      <c r="L183" s="48" t="n">
        <v>1</v>
      </c>
      <c r="M183" s="48" t="n">
        <v>4</v>
      </c>
      <c r="N183" s="48">
        <f>F183+I183+K183-L183</f>
        <v>4</v>
      </c>
      <c r="O183" s="46" t="str">
        <f>IF(ABS(M183-N183)&lt;0.001,"OK","REVIEW")</f>
        <v>OK</v>
      </c>
      <c r="P183" s="49">
        <f>DATE(YEAR(D183),MONTH(D183),1)</f>
        <v>45505</v>
      </c>
    </row>
    <row r="184" ht="19" customHeight="1">
      <c r="A184" s="50" t="n">
        <v>3410</v>
      </c>
      <c r="B184" s="50" t="inlineStr">
        <is>
          <t>Raquel Domingos</t>
        </is>
      </c>
      <c r="C184" s="50" t="inlineStr">
        <is>
          <t>Ultimate</t>
        </is>
      </c>
      <c r="D184" s="51" t="n">
        <v>45527</v>
      </c>
      <c r="E184" s="50" t="inlineStr">
        <is>
          <t>Yes</t>
        </is>
      </c>
      <c r="F184" s="52" t="n">
        <v>15</v>
      </c>
      <c r="G184" s="50" t="inlineStr">
        <is>
          <t>Monthly</t>
        </is>
      </c>
      <c r="H184" s="50" t="inlineStr">
        <is>
          <t>Yes</t>
        </is>
      </c>
      <c r="I184" s="52" t="n">
        <v>30</v>
      </c>
      <c r="J184" s="50" t="inlineStr">
        <is>
          <t>Yes</t>
        </is>
      </c>
      <c r="K184" s="52" t="n">
        <v>20</v>
      </c>
      <c r="L184" s="52" t="n">
        <v>15</v>
      </c>
      <c r="M184" s="52" t="n">
        <v>50</v>
      </c>
      <c r="N184" s="52">
        <f>F184+I184+K184-L184</f>
        <v>50</v>
      </c>
      <c r="O184" s="50" t="str">
        <f>IF(ABS(M184-N184)&lt;0.001,"OK","REVIEW")</f>
        <v>OK</v>
      </c>
      <c r="P184" s="53">
        <f>DATE(YEAR(D184),MONTH(D184),1)</f>
        <v>45505</v>
      </c>
    </row>
    <row r="185" ht="19" customHeight="1">
      <c r="A185" s="46" t="n">
        <v>3411</v>
      </c>
      <c r="B185" s="46" t="inlineStr">
        <is>
          <t>Samuel Viana</t>
        </is>
      </c>
      <c r="C185" s="46" t="inlineStr">
        <is>
          <t>Standard</t>
        </is>
      </c>
      <c r="D185" s="47" t="n">
        <v>45528</v>
      </c>
      <c r="E185" s="46" t="inlineStr">
        <is>
          <t>No</t>
        </is>
      </c>
      <c r="F185" s="48" t="n">
        <v>10</v>
      </c>
      <c r="G185" s="46" t="inlineStr">
        <is>
          <t>Monthly</t>
        </is>
      </c>
      <c r="H185" s="46" t="inlineStr">
        <is>
          <t>No</t>
        </is>
      </c>
      <c r="I185" s="48" t="n">
        <v>0</v>
      </c>
      <c r="J185" s="46" t="inlineStr">
        <is>
          <t>Yes</t>
        </is>
      </c>
      <c r="K185" s="48" t="n">
        <v>20</v>
      </c>
      <c r="L185" s="48" t="n">
        <v>5</v>
      </c>
      <c r="M185" s="48" t="n">
        <v>25</v>
      </c>
      <c r="N185" s="48">
        <f>F185+I185+K185-L185</f>
        <v>25</v>
      </c>
      <c r="O185" s="46" t="str">
        <f>IF(ABS(M185-N185)&lt;0.001,"OK","REVIEW")</f>
        <v>OK</v>
      </c>
      <c r="P185" s="49">
        <f>DATE(YEAR(D185),MONTH(D185),1)</f>
        <v>45505</v>
      </c>
    </row>
    <row r="186" ht="19" customHeight="1">
      <c r="A186" s="50" t="n">
        <v>3412</v>
      </c>
      <c r="B186" s="50" t="inlineStr">
        <is>
          <t>Tatiane Rocha</t>
        </is>
      </c>
      <c r="C186" s="50" t="inlineStr">
        <is>
          <t>Core</t>
        </is>
      </c>
      <c r="D186" s="51" t="n">
        <v>45529</v>
      </c>
      <c r="E186" s="50" t="inlineStr">
        <is>
          <t>Yes</t>
        </is>
      </c>
      <c r="F186" s="52" t="n">
        <v>5</v>
      </c>
      <c r="G186" s="50" t="inlineStr">
        <is>
          <t>Annual</t>
        </is>
      </c>
      <c r="H186" s="50" t="inlineStr">
        <is>
          <t>No</t>
        </is>
      </c>
      <c r="I186" s="52" t="n">
        <v>0</v>
      </c>
      <c r="J186" s="50" t="inlineStr">
        <is>
          <t>No</t>
        </is>
      </c>
      <c r="K186" s="52" t="n">
        <v>0</v>
      </c>
      <c r="L186" s="52" t="n">
        <v>0</v>
      </c>
      <c r="M186" s="52" t="n">
        <v>5</v>
      </c>
      <c r="N186" s="52">
        <f>F186+I186+K186-L186</f>
        <v>5</v>
      </c>
      <c r="O186" s="50" t="str">
        <f>IF(ABS(M186-N186)&lt;0.001,"OK","REVIEW")</f>
        <v>OK</v>
      </c>
      <c r="P186" s="53">
        <f>DATE(YEAR(D186),MONTH(D186),1)</f>
        <v>45505</v>
      </c>
    </row>
    <row r="187" ht="19" customHeight="1">
      <c r="A187" s="46" t="n">
        <v>3413</v>
      </c>
      <c r="B187" s="46" t="inlineStr">
        <is>
          <t>Ulysses Farias</t>
        </is>
      </c>
      <c r="C187" s="46" t="inlineStr">
        <is>
          <t>Ultimate</t>
        </is>
      </c>
      <c r="D187" s="47" t="n">
        <v>45530</v>
      </c>
      <c r="E187" s="46" t="inlineStr">
        <is>
          <t>No</t>
        </is>
      </c>
      <c r="F187" s="48" t="n">
        <v>15</v>
      </c>
      <c r="G187" s="46" t="inlineStr">
        <is>
          <t>Quarterly</t>
        </is>
      </c>
      <c r="H187" s="46" t="inlineStr">
        <is>
          <t>Yes</t>
        </is>
      </c>
      <c r="I187" s="48" t="n">
        <v>30</v>
      </c>
      <c r="J187" s="46" t="inlineStr">
        <is>
          <t>Yes</t>
        </is>
      </c>
      <c r="K187" s="48" t="n">
        <v>20</v>
      </c>
      <c r="L187" s="48" t="n">
        <v>20</v>
      </c>
      <c r="M187" s="48" t="n">
        <v>45</v>
      </c>
      <c r="N187" s="48">
        <f>F187+I187+K187-L187</f>
        <v>45</v>
      </c>
      <c r="O187" s="46" t="str">
        <f>IF(ABS(M187-N187)&lt;0.001,"OK","REVIEW")</f>
        <v>OK</v>
      </c>
      <c r="P187" s="49">
        <f>DATE(YEAR(D187),MONTH(D187),1)</f>
        <v>45505</v>
      </c>
    </row>
    <row r="188" ht="19" customHeight="1">
      <c r="A188" s="50" t="n">
        <v>3414</v>
      </c>
      <c r="B188" s="50" t="inlineStr">
        <is>
          <t>Vanessa Moreira</t>
        </is>
      </c>
      <c r="C188" s="50" t="inlineStr">
        <is>
          <t>Standard</t>
        </is>
      </c>
      <c r="D188" s="51" t="n">
        <v>45531</v>
      </c>
      <c r="E188" s="50" t="inlineStr">
        <is>
          <t>Yes</t>
        </is>
      </c>
      <c r="F188" s="52" t="n">
        <v>10</v>
      </c>
      <c r="G188" s="50" t="inlineStr">
        <is>
          <t>Quarterly</t>
        </is>
      </c>
      <c r="H188" s="50" t="inlineStr">
        <is>
          <t>No</t>
        </is>
      </c>
      <c r="I188" s="52" t="n">
        <v>0</v>
      </c>
      <c r="J188" s="50" t="inlineStr">
        <is>
          <t>Yes</t>
        </is>
      </c>
      <c r="K188" s="52" t="n">
        <v>20</v>
      </c>
      <c r="L188" s="52" t="n">
        <v>12</v>
      </c>
      <c r="M188" s="52" t="n">
        <v>18</v>
      </c>
      <c r="N188" s="52">
        <f>F188+I188+K188-L188</f>
        <v>18</v>
      </c>
      <c r="O188" s="50" t="str">
        <f>IF(ABS(M188-N188)&lt;0.001,"OK","REVIEW")</f>
        <v>OK</v>
      </c>
      <c r="P188" s="53">
        <f>DATE(YEAR(D188),MONTH(D188),1)</f>
        <v>45505</v>
      </c>
    </row>
    <row r="189" ht="19" customHeight="1">
      <c r="A189" s="46" t="n">
        <v>3415</v>
      </c>
      <c r="B189" s="46" t="inlineStr">
        <is>
          <t>William Carvalho</t>
        </is>
      </c>
      <c r="C189" s="46" t="inlineStr">
        <is>
          <t>Core</t>
        </is>
      </c>
      <c r="D189" s="47" t="n">
        <v>45532</v>
      </c>
      <c r="E189" s="46" t="inlineStr">
        <is>
          <t>No</t>
        </is>
      </c>
      <c r="F189" s="48" t="n">
        <v>5</v>
      </c>
      <c r="G189" s="46" t="inlineStr">
        <is>
          <t>Monthly</t>
        </is>
      </c>
      <c r="H189" s="46" t="inlineStr">
        <is>
          <t>No</t>
        </is>
      </c>
      <c r="I189" s="48" t="n">
        <v>0</v>
      </c>
      <c r="J189" s="46" t="inlineStr">
        <is>
          <t>No</t>
        </is>
      </c>
      <c r="K189" s="48" t="n">
        <v>0</v>
      </c>
      <c r="L189" s="48" t="n">
        <v>2</v>
      </c>
      <c r="M189" s="48" t="n">
        <v>3</v>
      </c>
      <c r="N189" s="48">
        <f>F189+I189+K189-L189</f>
        <v>3</v>
      </c>
      <c r="O189" s="46" t="str">
        <f>IF(ABS(M189-N189)&lt;0.001,"OK","REVIEW")</f>
        <v>OK</v>
      </c>
      <c r="P189" s="49">
        <f>DATE(YEAR(D189),MONTH(D189),1)</f>
        <v>45505</v>
      </c>
    </row>
    <row r="190" ht="19" customHeight="1">
      <c r="A190" s="50" t="n">
        <v>3416</v>
      </c>
      <c r="B190" s="50" t="inlineStr">
        <is>
          <t>Ximena Barros</t>
        </is>
      </c>
      <c r="C190" s="50" t="inlineStr">
        <is>
          <t>Ultimate</t>
        </is>
      </c>
      <c r="D190" s="51" t="n">
        <v>45533</v>
      </c>
      <c r="E190" s="50" t="inlineStr">
        <is>
          <t>Yes</t>
        </is>
      </c>
      <c r="F190" s="52" t="n">
        <v>15</v>
      </c>
      <c r="G190" s="50" t="inlineStr">
        <is>
          <t>Annual</t>
        </is>
      </c>
      <c r="H190" s="50" t="inlineStr">
        <is>
          <t>Yes</t>
        </is>
      </c>
      <c r="I190" s="52" t="n">
        <v>30</v>
      </c>
      <c r="J190" s="50" t="inlineStr">
        <is>
          <t>Yes</t>
        </is>
      </c>
      <c r="K190" s="52" t="n">
        <v>20</v>
      </c>
      <c r="L190" s="52" t="n">
        <v>5</v>
      </c>
      <c r="M190" s="52" t="n">
        <v>60</v>
      </c>
      <c r="N190" s="52">
        <f>F190+I190+K190-L190</f>
        <v>60</v>
      </c>
      <c r="O190" s="50" t="str">
        <f>IF(ABS(M190-N190)&lt;0.001,"OK","REVIEW")</f>
        <v>OK</v>
      </c>
      <c r="P190" s="53">
        <f>DATE(YEAR(D190),MONTH(D190),1)</f>
        <v>45505</v>
      </c>
    </row>
    <row r="191" ht="19" customHeight="1">
      <c r="A191" s="46" t="n">
        <v>3417</v>
      </c>
      <c r="B191" s="46" t="inlineStr">
        <is>
          <t>Yara Machado</t>
        </is>
      </c>
      <c r="C191" s="46" t="inlineStr">
        <is>
          <t>Standard</t>
        </is>
      </c>
      <c r="D191" s="47" t="n">
        <v>45534</v>
      </c>
      <c r="E191" s="46" t="inlineStr">
        <is>
          <t>No</t>
        </is>
      </c>
      <c r="F191" s="48" t="n">
        <v>10</v>
      </c>
      <c r="G191" s="46" t="inlineStr">
        <is>
          <t>Monthly</t>
        </is>
      </c>
      <c r="H191" s="46" t="inlineStr">
        <is>
          <t>No</t>
        </is>
      </c>
      <c r="I191" s="48" t="n">
        <v>0</v>
      </c>
      <c r="J191" s="46" t="inlineStr">
        <is>
          <t>Yes</t>
        </is>
      </c>
      <c r="K191" s="48" t="n">
        <v>20</v>
      </c>
      <c r="L191" s="48" t="n">
        <v>10</v>
      </c>
      <c r="M191" s="48" t="n">
        <v>20</v>
      </c>
      <c r="N191" s="48">
        <f>F191+I191+K191-L191</f>
        <v>20</v>
      </c>
      <c r="O191" s="46" t="str">
        <f>IF(ABS(M191-N191)&lt;0.001,"OK","REVIEW")</f>
        <v>OK</v>
      </c>
      <c r="P191" s="49">
        <f>DATE(YEAR(D191),MONTH(D191),1)</f>
        <v>45505</v>
      </c>
    </row>
    <row r="192" ht="19" customHeight="1">
      <c r="A192" s="50" t="n">
        <v>3418</v>
      </c>
      <c r="B192" s="50" t="inlineStr">
        <is>
          <t>Zacarias Costa</t>
        </is>
      </c>
      <c r="C192" s="50" t="inlineStr">
        <is>
          <t>Core</t>
        </is>
      </c>
      <c r="D192" s="51" t="n">
        <v>45535</v>
      </c>
      <c r="E192" s="50" t="inlineStr">
        <is>
          <t>Yes</t>
        </is>
      </c>
      <c r="F192" s="52" t="n">
        <v>5</v>
      </c>
      <c r="G192" s="50" t="inlineStr">
        <is>
          <t>Quarterly</t>
        </is>
      </c>
      <c r="H192" s="50" t="inlineStr">
        <is>
          <t>No</t>
        </is>
      </c>
      <c r="I192" s="52" t="n">
        <v>0</v>
      </c>
      <c r="J192" s="50" t="inlineStr">
        <is>
          <t>No</t>
        </is>
      </c>
      <c r="K192" s="52" t="n">
        <v>0</v>
      </c>
      <c r="L192" s="52" t="n">
        <v>0</v>
      </c>
      <c r="M192" s="52" t="n">
        <v>5</v>
      </c>
      <c r="N192" s="52">
        <f>F192+I192+K192-L192</f>
        <v>5</v>
      </c>
      <c r="O192" s="50" t="str">
        <f>IF(ABS(M192-N192)&lt;0.001,"OK","REVIEW")</f>
        <v>OK</v>
      </c>
      <c r="P192" s="53">
        <f>DATE(YEAR(D192),MONTH(D192),1)</f>
        <v>45505</v>
      </c>
    </row>
    <row r="193" ht="19" customHeight="1">
      <c r="A193" s="46" t="n">
        <v>3419</v>
      </c>
      <c r="B193" s="46" t="inlineStr">
        <is>
          <t>André Lopes</t>
        </is>
      </c>
      <c r="C193" s="46" t="inlineStr">
        <is>
          <t>Ultimate</t>
        </is>
      </c>
      <c r="D193" s="47" t="n">
        <v>45536</v>
      </c>
      <c r="E193" s="46" t="inlineStr">
        <is>
          <t>No</t>
        </is>
      </c>
      <c r="F193" s="48" t="n">
        <v>15</v>
      </c>
      <c r="G193" s="46" t="inlineStr">
        <is>
          <t>Monthly</t>
        </is>
      </c>
      <c r="H193" s="46" t="inlineStr">
        <is>
          <t>Yes</t>
        </is>
      </c>
      <c r="I193" s="48" t="n">
        <v>30</v>
      </c>
      <c r="J193" s="46" t="inlineStr">
        <is>
          <t>Yes</t>
        </is>
      </c>
      <c r="K193" s="48" t="n">
        <v>20</v>
      </c>
      <c r="L193" s="48" t="n">
        <v>3</v>
      </c>
      <c r="M193" s="48" t="n">
        <v>62</v>
      </c>
      <c r="N193" s="48">
        <f>F193+I193+K193-L193</f>
        <v>62</v>
      </c>
      <c r="O193" s="46" t="str">
        <f>IF(ABS(M193-N193)&lt;0.001,"OK","REVIEW")</f>
        <v>OK</v>
      </c>
      <c r="P193" s="49">
        <f>DATE(YEAR(D193),MONTH(D193),1)</f>
        <v>45536</v>
      </c>
    </row>
    <row r="194" ht="19" customHeight="1">
      <c r="A194" s="50" t="n">
        <v>3420</v>
      </c>
      <c r="B194" s="50" t="inlineStr">
        <is>
          <t>Beatriz Souza</t>
        </is>
      </c>
      <c r="C194" s="50" t="inlineStr">
        <is>
          <t>Standard</t>
        </is>
      </c>
      <c r="D194" s="51" t="n">
        <v>45537</v>
      </c>
      <c r="E194" s="50" t="inlineStr">
        <is>
          <t>Yes</t>
        </is>
      </c>
      <c r="F194" s="52" t="n">
        <v>10</v>
      </c>
      <c r="G194" s="50" t="inlineStr">
        <is>
          <t>Annual</t>
        </is>
      </c>
      <c r="H194" s="50" t="inlineStr">
        <is>
          <t>No</t>
        </is>
      </c>
      <c r="I194" s="52" t="n">
        <v>0</v>
      </c>
      <c r="J194" s="50" t="inlineStr">
        <is>
          <t>Yes</t>
        </is>
      </c>
      <c r="K194" s="52" t="n">
        <v>20</v>
      </c>
      <c r="L194" s="52" t="n">
        <v>15</v>
      </c>
      <c r="M194" s="52" t="n">
        <v>15</v>
      </c>
      <c r="N194" s="52">
        <f>F194+I194+K194-L194</f>
        <v>15</v>
      </c>
      <c r="O194" s="50" t="str">
        <f>IF(ABS(M194-N194)&lt;0.001,"OK","REVIEW")</f>
        <v>OK</v>
      </c>
      <c r="P194" s="53">
        <f>DATE(YEAR(D194),MONTH(D194),1)</f>
        <v>45536</v>
      </c>
    </row>
    <row r="195" ht="19" customHeight="1">
      <c r="A195" s="46" t="n">
        <v>3421</v>
      </c>
      <c r="B195" s="46" t="inlineStr">
        <is>
          <t>Caio Pereira</t>
        </is>
      </c>
      <c r="C195" s="46" t="inlineStr">
        <is>
          <t>Core</t>
        </is>
      </c>
      <c r="D195" s="47" t="n">
        <v>45538</v>
      </c>
      <c r="E195" s="46" t="inlineStr">
        <is>
          <t>No</t>
        </is>
      </c>
      <c r="F195" s="48" t="n">
        <v>5</v>
      </c>
      <c r="G195" s="46" t="inlineStr">
        <is>
          <t>Monthly</t>
        </is>
      </c>
      <c r="H195" s="46" t="inlineStr">
        <is>
          <t>No</t>
        </is>
      </c>
      <c r="I195" s="48" t="n">
        <v>0</v>
      </c>
      <c r="J195" s="46" t="inlineStr">
        <is>
          <t>No</t>
        </is>
      </c>
      <c r="K195" s="48" t="n">
        <v>0</v>
      </c>
      <c r="L195" s="48" t="n">
        <v>1</v>
      </c>
      <c r="M195" s="48" t="n">
        <v>4</v>
      </c>
      <c r="N195" s="48">
        <f>F195+I195+K195-L195</f>
        <v>4</v>
      </c>
      <c r="O195" s="46" t="str">
        <f>IF(ABS(M195-N195)&lt;0.001,"OK","REVIEW")</f>
        <v>OK</v>
      </c>
      <c r="P195" s="49">
        <f>DATE(YEAR(D195),MONTH(D195),1)</f>
        <v>45536</v>
      </c>
    </row>
    <row r="196" ht="19" customHeight="1">
      <c r="A196" s="50" t="n">
        <v>3422</v>
      </c>
      <c r="B196" s="50" t="inlineStr">
        <is>
          <t>Daniela Araújo</t>
        </is>
      </c>
      <c r="C196" s="50" t="inlineStr">
        <is>
          <t>Ultimate</t>
        </is>
      </c>
      <c r="D196" s="51" t="n">
        <v>45539</v>
      </c>
      <c r="E196" s="50" t="inlineStr">
        <is>
          <t>Yes</t>
        </is>
      </c>
      <c r="F196" s="52" t="n">
        <v>15</v>
      </c>
      <c r="G196" s="50" t="inlineStr">
        <is>
          <t>Quarterly</t>
        </is>
      </c>
      <c r="H196" s="50" t="inlineStr">
        <is>
          <t>Yes</t>
        </is>
      </c>
      <c r="I196" s="52" t="n">
        <v>30</v>
      </c>
      <c r="J196" s="50" t="inlineStr">
        <is>
          <t>Yes</t>
        </is>
      </c>
      <c r="K196" s="52" t="n">
        <v>20</v>
      </c>
      <c r="L196" s="52" t="n">
        <v>7</v>
      </c>
      <c r="M196" s="52" t="n">
        <v>58</v>
      </c>
      <c r="N196" s="52">
        <f>F196+I196+K196-L196</f>
        <v>58</v>
      </c>
      <c r="O196" s="50" t="str">
        <f>IF(ABS(M196-N196)&lt;0.001,"OK","REVIEW")</f>
        <v>OK</v>
      </c>
      <c r="P196" s="53">
        <f>DATE(YEAR(D196),MONTH(D196),1)</f>
        <v>45536</v>
      </c>
    </row>
    <row r="197" ht="19" customHeight="1">
      <c r="A197" s="46" t="n">
        <v>3423</v>
      </c>
      <c r="B197" s="46" t="inlineStr">
        <is>
          <t>Eduardo Santos</t>
        </is>
      </c>
      <c r="C197" s="46" t="inlineStr">
        <is>
          <t>Standard</t>
        </is>
      </c>
      <c r="D197" s="47" t="n">
        <v>45540</v>
      </c>
      <c r="E197" s="46" t="inlineStr">
        <is>
          <t>No</t>
        </is>
      </c>
      <c r="F197" s="48" t="n">
        <v>10</v>
      </c>
      <c r="G197" s="46" t="inlineStr">
        <is>
          <t>Monthly</t>
        </is>
      </c>
      <c r="H197" s="46" t="inlineStr">
        <is>
          <t>No</t>
        </is>
      </c>
      <c r="I197" s="48" t="n">
        <v>0</v>
      </c>
      <c r="J197" s="46" t="inlineStr">
        <is>
          <t>Yes</t>
        </is>
      </c>
      <c r="K197" s="48" t="n">
        <v>20</v>
      </c>
      <c r="L197" s="48" t="n">
        <v>10</v>
      </c>
      <c r="M197" s="48" t="n">
        <v>20</v>
      </c>
      <c r="N197" s="48">
        <f>F197+I197+K197-L197</f>
        <v>20</v>
      </c>
      <c r="O197" s="46" t="str">
        <f>IF(ABS(M197-N197)&lt;0.001,"OK","REVIEW")</f>
        <v>OK</v>
      </c>
      <c r="P197" s="49">
        <f>DATE(YEAR(D197),MONTH(D197),1)</f>
        <v>45536</v>
      </c>
    </row>
    <row r="198" ht="19" customHeight="1">
      <c r="A198" s="50" t="n">
        <v>3424</v>
      </c>
      <c r="B198" s="50" t="inlineStr">
        <is>
          <t>Fernanda Lima</t>
        </is>
      </c>
      <c r="C198" s="50" t="inlineStr">
        <is>
          <t>Core</t>
        </is>
      </c>
      <c r="D198" s="51" t="n">
        <v>45541</v>
      </c>
      <c r="E198" s="50" t="inlineStr">
        <is>
          <t>Yes</t>
        </is>
      </c>
      <c r="F198" s="52" t="n">
        <v>5</v>
      </c>
      <c r="G198" s="50" t="inlineStr">
        <is>
          <t>Annual</t>
        </is>
      </c>
      <c r="H198" s="50" t="inlineStr">
        <is>
          <t>No</t>
        </is>
      </c>
      <c r="I198" s="52" t="n">
        <v>0</v>
      </c>
      <c r="J198" s="50" t="inlineStr">
        <is>
          <t>No</t>
        </is>
      </c>
      <c r="K198" s="52" t="n">
        <v>0</v>
      </c>
      <c r="L198" s="52" t="n">
        <v>0</v>
      </c>
      <c r="M198" s="52" t="n">
        <v>5</v>
      </c>
      <c r="N198" s="52">
        <f>F198+I198+K198-L198</f>
        <v>5</v>
      </c>
      <c r="O198" s="50" t="str">
        <f>IF(ABS(M198-N198)&lt;0.001,"OK","REVIEW")</f>
        <v>OK</v>
      </c>
      <c r="P198" s="53">
        <f>DATE(YEAR(D198),MONTH(D198),1)</f>
        <v>45536</v>
      </c>
    </row>
    <row r="199" ht="19" customHeight="1">
      <c r="A199" s="46" t="n">
        <v>3425</v>
      </c>
      <c r="B199" s="46" t="inlineStr">
        <is>
          <t>Gabriel Teixeira</t>
        </is>
      </c>
      <c r="C199" s="46" t="inlineStr">
        <is>
          <t>Ultimate</t>
        </is>
      </c>
      <c r="D199" s="47" t="n">
        <v>45542</v>
      </c>
      <c r="E199" s="46" t="inlineStr">
        <is>
          <t>No</t>
        </is>
      </c>
      <c r="F199" s="48" t="n">
        <v>15</v>
      </c>
      <c r="G199" s="46" t="inlineStr">
        <is>
          <t>Monthly</t>
        </is>
      </c>
      <c r="H199" s="46" t="inlineStr">
        <is>
          <t>Yes</t>
        </is>
      </c>
      <c r="I199" s="48" t="n">
        <v>30</v>
      </c>
      <c r="J199" s="46" t="inlineStr">
        <is>
          <t>Yes</t>
        </is>
      </c>
      <c r="K199" s="48" t="n">
        <v>20</v>
      </c>
      <c r="L199" s="48" t="n">
        <v>20</v>
      </c>
      <c r="M199" s="48" t="n">
        <v>45</v>
      </c>
      <c r="N199" s="48">
        <f>F199+I199+K199-L199</f>
        <v>45</v>
      </c>
      <c r="O199" s="46" t="str">
        <f>IF(ABS(M199-N199)&lt;0.001,"OK","REVIEW")</f>
        <v>OK</v>
      </c>
      <c r="P199" s="49">
        <f>DATE(YEAR(D199),MONTH(D199),1)</f>
        <v>45536</v>
      </c>
    </row>
    <row r="200" ht="19" customHeight="1">
      <c r="A200" s="50" t="n">
        <v>3426</v>
      </c>
      <c r="B200" s="50" t="inlineStr">
        <is>
          <t>Helena Ribeiro</t>
        </is>
      </c>
      <c r="C200" s="50" t="inlineStr">
        <is>
          <t>Standard</t>
        </is>
      </c>
      <c r="D200" s="51" t="n">
        <v>45543</v>
      </c>
      <c r="E200" s="50" t="inlineStr">
        <is>
          <t>Yes</t>
        </is>
      </c>
      <c r="F200" s="52" t="n">
        <v>10</v>
      </c>
      <c r="G200" s="50" t="inlineStr">
        <is>
          <t>Quarterly</t>
        </is>
      </c>
      <c r="H200" s="50" t="inlineStr">
        <is>
          <t>No</t>
        </is>
      </c>
      <c r="I200" s="52" t="n">
        <v>0</v>
      </c>
      <c r="J200" s="50" t="inlineStr">
        <is>
          <t>Yes</t>
        </is>
      </c>
      <c r="K200" s="52" t="n">
        <v>20</v>
      </c>
      <c r="L200" s="52" t="n">
        <v>15</v>
      </c>
      <c r="M200" s="52" t="n">
        <v>15</v>
      </c>
      <c r="N200" s="52">
        <f>F200+I200+K200-L200</f>
        <v>15</v>
      </c>
      <c r="O200" s="50" t="str">
        <f>IF(ABS(M200-N200)&lt;0.001,"OK","REVIEW")</f>
        <v>OK</v>
      </c>
      <c r="P200" s="53">
        <f>DATE(YEAR(D200),MONTH(D200),1)</f>
        <v>45536</v>
      </c>
    </row>
    <row r="201" ht="19" customHeight="1">
      <c r="A201" s="46" t="n">
        <v>3427</v>
      </c>
      <c r="B201" s="46" t="inlineStr">
        <is>
          <t>Igor Mendes</t>
        </is>
      </c>
      <c r="C201" s="46" t="inlineStr">
        <is>
          <t>Core</t>
        </is>
      </c>
      <c r="D201" s="47" t="n">
        <v>45544</v>
      </c>
      <c r="E201" s="46" t="inlineStr">
        <is>
          <t>No</t>
        </is>
      </c>
      <c r="F201" s="48" t="n">
        <v>5</v>
      </c>
      <c r="G201" s="46" t="inlineStr">
        <is>
          <t>Monthly</t>
        </is>
      </c>
      <c r="H201" s="46" t="inlineStr">
        <is>
          <t>No</t>
        </is>
      </c>
      <c r="I201" s="48" t="n">
        <v>0</v>
      </c>
      <c r="J201" s="46" t="inlineStr">
        <is>
          <t>No</t>
        </is>
      </c>
      <c r="K201" s="48" t="n">
        <v>0</v>
      </c>
      <c r="L201" s="48" t="n">
        <v>1</v>
      </c>
      <c r="M201" s="48" t="n">
        <v>4</v>
      </c>
      <c r="N201" s="48">
        <f>F201+I201+K201-L201</f>
        <v>4</v>
      </c>
      <c r="O201" s="46" t="str">
        <f>IF(ABS(M201-N201)&lt;0.001,"OK","REVIEW")</f>
        <v>OK</v>
      </c>
      <c r="P201" s="49">
        <f>DATE(YEAR(D201),MONTH(D201),1)</f>
        <v>45536</v>
      </c>
    </row>
    <row r="202" ht="19" customHeight="1">
      <c r="A202" s="50" t="n">
        <v>3428</v>
      </c>
      <c r="B202" s="50" t="inlineStr">
        <is>
          <t>Joana Silveira</t>
        </is>
      </c>
      <c r="C202" s="50" t="inlineStr">
        <is>
          <t>Ultimate</t>
        </is>
      </c>
      <c r="D202" s="51" t="n">
        <v>45545</v>
      </c>
      <c r="E202" s="50" t="inlineStr">
        <is>
          <t>Yes</t>
        </is>
      </c>
      <c r="F202" s="52" t="n">
        <v>15</v>
      </c>
      <c r="G202" s="50" t="inlineStr">
        <is>
          <t>Annual</t>
        </is>
      </c>
      <c r="H202" s="50" t="inlineStr">
        <is>
          <t>Yes</t>
        </is>
      </c>
      <c r="I202" s="52" t="n">
        <v>30</v>
      </c>
      <c r="J202" s="50" t="inlineStr">
        <is>
          <t>Yes</t>
        </is>
      </c>
      <c r="K202" s="52" t="n">
        <v>20</v>
      </c>
      <c r="L202" s="52" t="n">
        <v>3</v>
      </c>
      <c r="M202" s="52" t="n">
        <v>62</v>
      </c>
      <c r="N202" s="52">
        <f>F202+I202+K202-L202</f>
        <v>62</v>
      </c>
      <c r="O202" s="50" t="str">
        <f>IF(ABS(M202-N202)&lt;0.001,"OK","REVIEW")</f>
        <v>OK</v>
      </c>
      <c r="P202" s="53">
        <f>DATE(YEAR(D202),MONTH(D202),1)</f>
        <v>45536</v>
      </c>
    </row>
    <row r="203" ht="19" customHeight="1">
      <c r="A203" s="46" t="n">
        <v>3429</v>
      </c>
      <c r="B203" s="46" t="inlineStr">
        <is>
          <t>Lucas Martins</t>
        </is>
      </c>
      <c r="C203" s="46" t="inlineStr">
        <is>
          <t>Standard</t>
        </is>
      </c>
      <c r="D203" s="47" t="n">
        <v>45546</v>
      </c>
      <c r="E203" s="46" t="inlineStr">
        <is>
          <t>No</t>
        </is>
      </c>
      <c r="F203" s="48" t="n">
        <v>10</v>
      </c>
      <c r="G203" s="46" t="inlineStr">
        <is>
          <t>Monthly</t>
        </is>
      </c>
      <c r="H203" s="46" t="inlineStr">
        <is>
          <t>No</t>
        </is>
      </c>
      <c r="I203" s="48" t="n">
        <v>0</v>
      </c>
      <c r="J203" s="46" t="inlineStr">
        <is>
          <t>Yes</t>
        </is>
      </c>
      <c r="K203" s="48" t="n">
        <v>20</v>
      </c>
      <c r="L203" s="48" t="n">
        <v>10</v>
      </c>
      <c r="M203" s="48" t="n">
        <v>20</v>
      </c>
      <c r="N203" s="48">
        <f>F203+I203+K203-L203</f>
        <v>20</v>
      </c>
      <c r="O203" s="46" t="str">
        <f>IF(ABS(M203-N203)&lt;0.001,"OK","REVIEW")</f>
        <v>OK</v>
      </c>
      <c r="P203" s="49">
        <f>DATE(YEAR(D203),MONTH(D203),1)</f>
        <v>45536</v>
      </c>
    </row>
    <row r="204" ht="19" customHeight="1">
      <c r="A204" s="50" t="n">
        <v>3430</v>
      </c>
      <c r="B204" s="50" t="inlineStr">
        <is>
          <t>Marcela Gouveia</t>
        </is>
      </c>
      <c r="C204" s="50" t="inlineStr">
        <is>
          <t>Core</t>
        </is>
      </c>
      <c r="D204" s="51" t="n">
        <v>45547</v>
      </c>
      <c r="E204" s="50" t="inlineStr">
        <is>
          <t>Yes</t>
        </is>
      </c>
      <c r="F204" s="52" t="n">
        <v>5</v>
      </c>
      <c r="G204" s="50" t="inlineStr">
        <is>
          <t>Quarterly</t>
        </is>
      </c>
      <c r="H204" s="50" t="inlineStr">
        <is>
          <t>No</t>
        </is>
      </c>
      <c r="I204" s="52" t="n">
        <v>0</v>
      </c>
      <c r="J204" s="50" t="inlineStr">
        <is>
          <t>No</t>
        </is>
      </c>
      <c r="K204" s="52" t="n">
        <v>0</v>
      </c>
      <c r="L204" s="52" t="n">
        <v>0</v>
      </c>
      <c r="M204" s="52" t="n">
        <v>5</v>
      </c>
      <c r="N204" s="52">
        <f>F204+I204+K204-L204</f>
        <v>5</v>
      </c>
      <c r="O204" s="50" t="str">
        <f>IF(ABS(M204-N204)&lt;0.001,"OK","REVIEW")</f>
        <v>OK</v>
      </c>
      <c r="P204" s="53">
        <f>DATE(YEAR(D204),MONTH(D204),1)</f>
        <v>45536</v>
      </c>
    </row>
    <row r="205" ht="19" customHeight="1">
      <c r="A205" s="46" t="n">
        <v>3431</v>
      </c>
      <c r="B205" s="46" t="inlineStr">
        <is>
          <t>Nicolas Borges</t>
        </is>
      </c>
      <c r="C205" s="46" t="inlineStr">
        <is>
          <t>Ultimate</t>
        </is>
      </c>
      <c r="D205" s="47" t="n">
        <v>45548</v>
      </c>
      <c r="E205" s="46" t="inlineStr">
        <is>
          <t>No</t>
        </is>
      </c>
      <c r="F205" s="48" t="n">
        <v>15</v>
      </c>
      <c r="G205" s="46" t="inlineStr">
        <is>
          <t>Monthly</t>
        </is>
      </c>
      <c r="H205" s="46" t="inlineStr">
        <is>
          <t>Yes</t>
        </is>
      </c>
      <c r="I205" s="48" t="n">
        <v>30</v>
      </c>
      <c r="J205" s="46" t="inlineStr">
        <is>
          <t>Yes</t>
        </is>
      </c>
      <c r="K205" s="48" t="n">
        <v>20</v>
      </c>
      <c r="L205" s="48" t="n">
        <v>15</v>
      </c>
      <c r="M205" s="48" t="n">
        <v>50</v>
      </c>
      <c r="N205" s="48">
        <f>F205+I205+K205-L205</f>
        <v>50</v>
      </c>
      <c r="O205" s="46" t="str">
        <f>IF(ABS(M205-N205)&lt;0.001,"OK","REVIEW")</f>
        <v>OK</v>
      </c>
      <c r="P205" s="49">
        <f>DATE(YEAR(D205),MONTH(D205),1)</f>
        <v>45536</v>
      </c>
    </row>
    <row r="206" ht="19" customHeight="1">
      <c r="A206" s="50" t="n">
        <v>3432</v>
      </c>
      <c r="B206" s="50" t="inlineStr">
        <is>
          <t>Olivia Freitas</t>
        </is>
      </c>
      <c r="C206" s="50" t="inlineStr">
        <is>
          <t>Standard</t>
        </is>
      </c>
      <c r="D206" s="51" t="n">
        <v>45549</v>
      </c>
      <c r="E206" s="50" t="inlineStr">
        <is>
          <t>Yes</t>
        </is>
      </c>
      <c r="F206" s="52" t="n">
        <v>10</v>
      </c>
      <c r="G206" s="50" t="inlineStr">
        <is>
          <t>Annual</t>
        </is>
      </c>
      <c r="H206" s="50" t="inlineStr">
        <is>
          <t>No</t>
        </is>
      </c>
      <c r="I206" s="52" t="n">
        <v>0</v>
      </c>
      <c r="J206" s="50" t="inlineStr">
        <is>
          <t>Yes</t>
        </is>
      </c>
      <c r="K206" s="52" t="n">
        <v>20</v>
      </c>
      <c r="L206" s="52" t="n">
        <v>15</v>
      </c>
      <c r="M206" s="52" t="n">
        <v>15</v>
      </c>
      <c r="N206" s="52">
        <f>F206+I206+K206-L206</f>
        <v>15</v>
      </c>
      <c r="O206" s="50" t="str">
        <f>IF(ABS(M206-N206)&lt;0.001,"OK","REVIEW")</f>
        <v>OK</v>
      </c>
      <c r="P206" s="53">
        <f>DATE(YEAR(D206),MONTH(D206),1)</f>
        <v>45536</v>
      </c>
    </row>
    <row r="207" ht="19" customHeight="1">
      <c r="A207" s="46" t="n">
        <v>3433</v>
      </c>
      <c r="B207" s="46" t="inlineStr">
        <is>
          <t>Paulo Nogueira</t>
        </is>
      </c>
      <c r="C207" s="46" t="inlineStr">
        <is>
          <t>Core</t>
        </is>
      </c>
      <c r="D207" s="47" t="n">
        <v>45550</v>
      </c>
      <c r="E207" s="46" t="inlineStr">
        <is>
          <t>No</t>
        </is>
      </c>
      <c r="F207" s="48" t="n">
        <v>5</v>
      </c>
      <c r="G207" s="46" t="inlineStr">
        <is>
          <t>Monthly</t>
        </is>
      </c>
      <c r="H207" s="46" t="inlineStr">
        <is>
          <t>No</t>
        </is>
      </c>
      <c r="I207" s="48" t="n">
        <v>0</v>
      </c>
      <c r="J207" s="46" t="inlineStr">
        <is>
          <t>No</t>
        </is>
      </c>
      <c r="K207" s="48" t="n">
        <v>0</v>
      </c>
      <c r="L207" s="48" t="n">
        <v>1</v>
      </c>
      <c r="M207" s="48" t="n">
        <v>4</v>
      </c>
      <c r="N207" s="48">
        <f>F207+I207+K207-L207</f>
        <v>4</v>
      </c>
      <c r="O207" s="46" t="str">
        <f>IF(ABS(M207-N207)&lt;0.001,"OK","REVIEW")</f>
        <v>OK</v>
      </c>
      <c r="P207" s="49">
        <f>DATE(YEAR(D207),MONTH(D207),1)</f>
        <v>45536</v>
      </c>
    </row>
    <row r="208" ht="19" customHeight="1">
      <c r="A208" s="50" t="n">
        <v>3434</v>
      </c>
      <c r="B208" s="50" t="inlineStr">
        <is>
          <t>Raquel Andrade</t>
        </is>
      </c>
      <c r="C208" s="50" t="inlineStr">
        <is>
          <t>Ultimate</t>
        </is>
      </c>
      <c r="D208" s="51" t="n">
        <v>45551</v>
      </c>
      <c r="E208" s="50" t="inlineStr">
        <is>
          <t>Yes</t>
        </is>
      </c>
      <c r="F208" s="52" t="n">
        <v>15</v>
      </c>
      <c r="G208" s="50" t="inlineStr">
        <is>
          <t>Quarterly</t>
        </is>
      </c>
      <c r="H208" s="50" t="inlineStr">
        <is>
          <t>Yes</t>
        </is>
      </c>
      <c r="I208" s="52" t="n">
        <v>30</v>
      </c>
      <c r="J208" s="50" t="inlineStr">
        <is>
          <t>Yes</t>
        </is>
      </c>
      <c r="K208" s="52" t="n">
        <v>20</v>
      </c>
      <c r="L208" s="52" t="n">
        <v>7</v>
      </c>
      <c r="M208" s="52" t="n">
        <v>58</v>
      </c>
      <c r="N208" s="52">
        <f>F208+I208+K208-L208</f>
        <v>58</v>
      </c>
      <c r="O208" s="50" t="str">
        <f>IF(ABS(M208-N208)&lt;0.001,"OK","REVIEW")</f>
        <v>OK</v>
      </c>
      <c r="P208" s="53">
        <f>DATE(YEAR(D208),MONTH(D208),1)</f>
        <v>45536</v>
      </c>
    </row>
    <row r="209" ht="19" customHeight="1">
      <c r="A209" s="46" t="n">
        <v>3435</v>
      </c>
      <c r="B209" s="46" t="inlineStr">
        <is>
          <t>Sônia Carvalho</t>
        </is>
      </c>
      <c r="C209" s="46" t="inlineStr">
        <is>
          <t>Standard</t>
        </is>
      </c>
      <c r="D209" s="47" t="n">
        <v>45552</v>
      </c>
      <c r="E209" s="46" t="inlineStr">
        <is>
          <t>No</t>
        </is>
      </c>
      <c r="F209" s="48" t="n">
        <v>10</v>
      </c>
      <c r="G209" s="46" t="inlineStr">
        <is>
          <t>Monthly</t>
        </is>
      </c>
      <c r="H209" s="46" t="inlineStr">
        <is>
          <t>No</t>
        </is>
      </c>
      <c r="I209" s="48" t="n">
        <v>0</v>
      </c>
      <c r="J209" s="46" t="inlineStr">
        <is>
          <t>Yes</t>
        </is>
      </c>
      <c r="K209" s="48" t="n">
        <v>20</v>
      </c>
      <c r="L209" s="48" t="n">
        <v>10</v>
      </c>
      <c r="M209" s="48" t="n">
        <v>20</v>
      </c>
      <c r="N209" s="48">
        <f>F209+I209+K209-L209</f>
        <v>20</v>
      </c>
      <c r="O209" s="46" t="str">
        <f>IF(ABS(M209-N209)&lt;0.001,"OK","REVIEW")</f>
        <v>OK</v>
      </c>
      <c r="P209" s="49">
        <f>DATE(YEAR(D209),MONTH(D209),1)</f>
        <v>45536</v>
      </c>
    </row>
    <row r="210" ht="19" customHeight="1">
      <c r="A210" s="50" t="n">
        <v>3436</v>
      </c>
      <c r="B210" s="50" t="inlineStr">
        <is>
          <t>Tiago Rodrigues</t>
        </is>
      </c>
      <c r="C210" s="50" t="inlineStr">
        <is>
          <t>Core</t>
        </is>
      </c>
      <c r="D210" s="51" t="n">
        <v>45553</v>
      </c>
      <c r="E210" s="50" t="inlineStr">
        <is>
          <t>Yes</t>
        </is>
      </c>
      <c r="F210" s="52" t="n">
        <v>5</v>
      </c>
      <c r="G210" s="50" t="inlineStr">
        <is>
          <t>Monthly</t>
        </is>
      </c>
      <c r="H210" s="50" t="inlineStr">
        <is>
          <t>No</t>
        </is>
      </c>
      <c r="I210" s="52" t="n">
        <v>0</v>
      </c>
      <c r="J210" s="50" t="inlineStr">
        <is>
          <t>No</t>
        </is>
      </c>
      <c r="K210" s="52" t="n">
        <v>0</v>
      </c>
      <c r="L210" s="52" t="n">
        <v>0</v>
      </c>
      <c r="M210" s="52" t="n">
        <v>5</v>
      </c>
      <c r="N210" s="52">
        <f>F210+I210+K210-L210</f>
        <v>5</v>
      </c>
      <c r="O210" s="50" t="str">
        <f>IF(ABS(M210-N210)&lt;0.001,"OK","REVIEW")</f>
        <v>OK</v>
      </c>
      <c r="P210" s="53">
        <f>DATE(YEAR(D210),MONTH(D210),1)</f>
        <v>45536</v>
      </c>
    </row>
    <row r="211" ht="19" customHeight="1">
      <c r="A211" s="46" t="n">
        <v>3437</v>
      </c>
      <c r="B211" s="46" t="inlineStr">
        <is>
          <t>Ursula Monteiro</t>
        </is>
      </c>
      <c r="C211" s="46" t="inlineStr">
        <is>
          <t>Ultimate</t>
        </is>
      </c>
      <c r="D211" s="47" t="n">
        <v>45554</v>
      </c>
      <c r="E211" s="46" t="inlineStr">
        <is>
          <t>No</t>
        </is>
      </c>
      <c r="F211" s="48" t="n">
        <v>15</v>
      </c>
      <c r="G211" s="46" t="inlineStr">
        <is>
          <t>Quarterly</t>
        </is>
      </c>
      <c r="H211" s="46" t="inlineStr">
        <is>
          <t>Yes</t>
        </is>
      </c>
      <c r="I211" s="48" t="n">
        <v>30</v>
      </c>
      <c r="J211" s="46" t="inlineStr">
        <is>
          <t>Yes</t>
        </is>
      </c>
      <c r="K211" s="48" t="n">
        <v>20</v>
      </c>
      <c r="L211" s="48" t="n">
        <v>7</v>
      </c>
      <c r="M211" s="48" t="n">
        <v>58</v>
      </c>
      <c r="N211" s="48">
        <f>F211+I211+K211-L211</f>
        <v>58</v>
      </c>
      <c r="O211" s="46" t="str">
        <f>IF(ABS(M211-N211)&lt;0.001,"OK","REVIEW")</f>
        <v>OK</v>
      </c>
      <c r="P211" s="49">
        <f>DATE(YEAR(D211),MONTH(D211),1)</f>
        <v>45536</v>
      </c>
    </row>
    <row r="212" ht="19" customHeight="1">
      <c r="A212" s="50" t="n">
        <v>3438</v>
      </c>
      <c r="B212" s="50" t="inlineStr">
        <is>
          <t>Vanessa Pereira</t>
        </is>
      </c>
      <c r="C212" s="50" t="inlineStr">
        <is>
          <t>Standard</t>
        </is>
      </c>
      <c r="D212" s="51" t="n">
        <v>45555</v>
      </c>
      <c r="E212" s="50" t="inlineStr">
        <is>
          <t>Yes</t>
        </is>
      </c>
      <c r="F212" s="52" t="n">
        <v>10</v>
      </c>
      <c r="G212" s="50" t="inlineStr">
        <is>
          <t>Annual</t>
        </is>
      </c>
      <c r="H212" s="50" t="inlineStr">
        <is>
          <t>No</t>
        </is>
      </c>
      <c r="I212" s="52" t="n">
        <v>0</v>
      </c>
      <c r="J212" s="50" t="inlineStr">
        <is>
          <t>Yes</t>
        </is>
      </c>
      <c r="K212" s="52" t="n">
        <v>20</v>
      </c>
      <c r="L212" s="52" t="n">
        <v>10</v>
      </c>
      <c r="M212" s="52" t="n">
        <v>20</v>
      </c>
      <c r="N212" s="52">
        <f>F212+I212+K212-L212</f>
        <v>20</v>
      </c>
      <c r="O212" s="50" t="str">
        <f>IF(ABS(M212-N212)&lt;0.001,"OK","REVIEW")</f>
        <v>OK</v>
      </c>
      <c r="P212" s="53">
        <f>DATE(YEAR(D212),MONTH(D212),1)</f>
        <v>45536</v>
      </c>
    </row>
    <row r="213" ht="19" customHeight="1">
      <c r="A213" s="46" t="n">
        <v>3439</v>
      </c>
      <c r="B213" s="46" t="inlineStr">
        <is>
          <t>Walter Silva</t>
        </is>
      </c>
      <c r="C213" s="46" t="inlineStr">
        <is>
          <t>Core</t>
        </is>
      </c>
      <c r="D213" s="47" t="n">
        <v>45556</v>
      </c>
      <c r="E213" s="46" t="inlineStr">
        <is>
          <t>No</t>
        </is>
      </c>
      <c r="F213" s="48" t="n">
        <v>5</v>
      </c>
      <c r="G213" s="46" t="inlineStr">
        <is>
          <t>Quarterly</t>
        </is>
      </c>
      <c r="H213" s="46" t="inlineStr">
        <is>
          <t>No</t>
        </is>
      </c>
      <c r="I213" s="48" t="n">
        <v>0</v>
      </c>
      <c r="J213" s="46" t="inlineStr">
        <is>
          <t>No</t>
        </is>
      </c>
      <c r="K213" s="48" t="n">
        <v>0</v>
      </c>
      <c r="L213" s="48" t="n">
        <v>1</v>
      </c>
      <c r="M213" s="48" t="n">
        <v>4</v>
      </c>
      <c r="N213" s="48">
        <f>F213+I213+K213-L213</f>
        <v>4</v>
      </c>
      <c r="O213" s="46" t="str">
        <f>IF(ABS(M213-N213)&lt;0.001,"OK","REVIEW")</f>
        <v>OK</v>
      </c>
      <c r="P213" s="49">
        <f>DATE(YEAR(D213),MONTH(D213),1)</f>
        <v>45536</v>
      </c>
    </row>
    <row r="214" ht="19" customHeight="1">
      <c r="A214" s="50" t="n">
        <v>3440</v>
      </c>
      <c r="B214" s="50" t="inlineStr">
        <is>
          <t>Xavier Almeida</t>
        </is>
      </c>
      <c r="C214" s="50" t="inlineStr">
        <is>
          <t>Ultimate</t>
        </is>
      </c>
      <c r="D214" s="51" t="n">
        <v>45557</v>
      </c>
      <c r="E214" s="50" t="inlineStr">
        <is>
          <t>Yes</t>
        </is>
      </c>
      <c r="F214" s="52" t="n">
        <v>15</v>
      </c>
      <c r="G214" s="50" t="inlineStr">
        <is>
          <t>Monthly</t>
        </is>
      </c>
      <c r="H214" s="50" t="inlineStr">
        <is>
          <t>Yes</t>
        </is>
      </c>
      <c r="I214" s="52" t="n">
        <v>30</v>
      </c>
      <c r="J214" s="50" t="inlineStr">
        <is>
          <t>Yes</t>
        </is>
      </c>
      <c r="K214" s="52" t="n">
        <v>20</v>
      </c>
      <c r="L214" s="52" t="n">
        <v>15</v>
      </c>
      <c r="M214" s="52" t="n">
        <v>50</v>
      </c>
      <c r="N214" s="52">
        <f>F214+I214+K214-L214</f>
        <v>50</v>
      </c>
      <c r="O214" s="50" t="str">
        <f>IF(ABS(M214-N214)&lt;0.001,"OK","REVIEW")</f>
        <v>OK</v>
      </c>
      <c r="P214" s="53">
        <f>DATE(YEAR(D214),MONTH(D214),1)</f>
        <v>45536</v>
      </c>
    </row>
    <row r="215" ht="19" customHeight="1">
      <c r="A215" s="46" t="n">
        <v>3441</v>
      </c>
      <c r="B215" s="46" t="inlineStr">
        <is>
          <t>Yasmine Correia</t>
        </is>
      </c>
      <c r="C215" s="46" t="inlineStr">
        <is>
          <t>Standard</t>
        </is>
      </c>
      <c r="D215" s="47" t="n">
        <v>45558</v>
      </c>
      <c r="E215" s="46" t="inlineStr">
        <is>
          <t>No</t>
        </is>
      </c>
      <c r="F215" s="48" t="n">
        <v>10</v>
      </c>
      <c r="G215" s="46" t="inlineStr">
        <is>
          <t>Monthly</t>
        </is>
      </c>
      <c r="H215" s="46" t="inlineStr">
        <is>
          <t>No</t>
        </is>
      </c>
      <c r="I215" s="48" t="n">
        <v>0</v>
      </c>
      <c r="J215" s="46" t="inlineStr">
        <is>
          <t>Yes</t>
        </is>
      </c>
      <c r="K215" s="48" t="n">
        <v>20</v>
      </c>
      <c r="L215" s="48" t="n">
        <v>5</v>
      </c>
      <c r="M215" s="48" t="n">
        <v>25</v>
      </c>
      <c r="N215" s="48">
        <f>F215+I215+K215-L215</f>
        <v>25</v>
      </c>
      <c r="O215" s="46" t="str">
        <f>IF(ABS(M215-N215)&lt;0.001,"OK","REVIEW")</f>
        <v>OK</v>
      </c>
      <c r="P215" s="49">
        <f>DATE(YEAR(D215),MONTH(D215),1)</f>
        <v>45536</v>
      </c>
    </row>
    <row r="216" ht="19" customHeight="1">
      <c r="A216" s="50" t="n">
        <v>3442</v>
      </c>
      <c r="B216" s="50" t="inlineStr">
        <is>
          <t>Zacarias Almeida</t>
        </is>
      </c>
      <c r="C216" s="50" t="inlineStr">
        <is>
          <t>Core</t>
        </is>
      </c>
      <c r="D216" s="51" t="n">
        <v>45559</v>
      </c>
      <c r="E216" s="50" t="inlineStr">
        <is>
          <t>Yes</t>
        </is>
      </c>
      <c r="F216" s="52" t="n">
        <v>5</v>
      </c>
      <c r="G216" s="50" t="inlineStr">
        <is>
          <t>Annual</t>
        </is>
      </c>
      <c r="H216" s="50" t="inlineStr">
        <is>
          <t>No</t>
        </is>
      </c>
      <c r="I216" s="52" t="n">
        <v>0</v>
      </c>
      <c r="J216" s="50" t="inlineStr">
        <is>
          <t>No</t>
        </is>
      </c>
      <c r="K216" s="52" t="n">
        <v>0</v>
      </c>
      <c r="L216" s="52" t="n">
        <v>0</v>
      </c>
      <c r="M216" s="52" t="n">
        <v>5</v>
      </c>
      <c r="N216" s="52">
        <f>F216+I216+K216-L216</f>
        <v>5</v>
      </c>
      <c r="O216" s="50" t="str">
        <f>IF(ABS(M216-N216)&lt;0.001,"OK","REVIEW")</f>
        <v>OK</v>
      </c>
      <c r="P216" s="53">
        <f>DATE(YEAR(D216),MONTH(D216),1)</f>
        <v>45536</v>
      </c>
    </row>
    <row r="217" ht="19" customHeight="1">
      <c r="A217" s="46" t="n">
        <v>3443</v>
      </c>
      <c r="B217" s="46" t="inlineStr">
        <is>
          <t>Amanda Costa</t>
        </is>
      </c>
      <c r="C217" s="46" t="inlineStr">
        <is>
          <t>Ultimate</t>
        </is>
      </c>
      <c r="D217" s="47" t="n">
        <v>45560</v>
      </c>
      <c r="E217" s="46" t="inlineStr">
        <is>
          <t>No</t>
        </is>
      </c>
      <c r="F217" s="48" t="n">
        <v>15</v>
      </c>
      <c r="G217" s="46" t="inlineStr">
        <is>
          <t>Quarterly</t>
        </is>
      </c>
      <c r="H217" s="46" t="inlineStr">
        <is>
          <t>Yes</t>
        </is>
      </c>
      <c r="I217" s="48" t="n">
        <v>30</v>
      </c>
      <c r="J217" s="46" t="inlineStr">
        <is>
          <t>Yes</t>
        </is>
      </c>
      <c r="K217" s="48" t="n">
        <v>20</v>
      </c>
      <c r="L217" s="48" t="n">
        <v>20</v>
      </c>
      <c r="M217" s="48" t="n">
        <v>45</v>
      </c>
      <c r="N217" s="48">
        <f>F217+I217+K217-L217</f>
        <v>45</v>
      </c>
      <c r="O217" s="46" t="str">
        <f>IF(ABS(M217-N217)&lt;0.001,"OK","REVIEW")</f>
        <v>OK</v>
      </c>
      <c r="P217" s="49">
        <f>DATE(YEAR(D217),MONTH(D217),1)</f>
        <v>45536</v>
      </c>
    </row>
    <row r="218" ht="19" customHeight="1">
      <c r="A218" s="50" t="n">
        <v>3444</v>
      </c>
      <c r="B218" s="50" t="inlineStr">
        <is>
          <t>Bruno Ferreira</t>
        </is>
      </c>
      <c r="C218" s="50" t="inlineStr">
        <is>
          <t>Standard</t>
        </is>
      </c>
      <c r="D218" s="51" t="n">
        <v>45561</v>
      </c>
      <c r="E218" s="50" t="inlineStr">
        <is>
          <t>Yes</t>
        </is>
      </c>
      <c r="F218" s="52" t="n">
        <v>10</v>
      </c>
      <c r="G218" s="50" t="inlineStr">
        <is>
          <t>Quarterly</t>
        </is>
      </c>
      <c r="H218" s="50" t="inlineStr">
        <is>
          <t>No</t>
        </is>
      </c>
      <c r="I218" s="52" t="n">
        <v>0</v>
      </c>
      <c r="J218" s="50" t="inlineStr">
        <is>
          <t>Yes</t>
        </is>
      </c>
      <c r="K218" s="52" t="n">
        <v>20</v>
      </c>
      <c r="L218" s="52" t="n">
        <v>12</v>
      </c>
      <c r="M218" s="52" t="n">
        <v>18</v>
      </c>
      <c r="N218" s="52">
        <f>F218+I218+K218-L218</f>
        <v>18</v>
      </c>
      <c r="O218" s="50" t="str">
        <f>IF(ABS(M218-N218)&lt;0.001,"OK","REVIEW")</f>
        <v>OK</v>
      </c>
      <c r="P218" s="53">
        <f>DATE(YEAR(D218),MONTH(D218),1)</f>
        <v>45536</v>
      </c>
    </row>
    <row r="219" ht="19" customHeight="1">
      <c r="A219" s="46" t="n">
        <v>3445</v>
      </c>
      <c r="B219" s="46" t="inlineStr">
        <is>
          <t>Carla Dias</t>
        </is>
      </c>
      <c r="C219" s="46" t="inlineStr">
        <is>
          <t>Core</t>
        </is>
      </c>
      <c r="D219" s="47" t="n">
        <v>45562</v>
      </c>
      <c r="E219" s="46" t="inlineStr">
        <is>
          <t>No</t>
        </is>
      </c>
      <c r="F219" s="48" t="n">
        <v>5</v>
      </c>
      <c r="G219" s="46" t="inlineStr">
        <is>
          <t>Monthly</t>
        </is>
      </c>
      <c r="H219" s="46" t="inlineStr">
        <is>
          <t>No</t>
        </is>
      </c>
      <c r="I219" s="48" t="n">
        <v>0</v>
      </c>
      <c r="J219" s="46" t="inlineStr">
        <is>
          <t>No</t>
        </is>
      </c>
      <c r="K219" s="48" t="n">
        <v>0</v>
      </c>
      <c r="L219" s="48" t="n">
        <v>2</v>
      </c>
      <c r="M219" s="48" t="n">
        <v>3</v>
      </c>
      <c r="N219" s="48">
        <f>F219+I219+K219-L219</f>
        <v>3</v>
      </c>
      <c r="O219" s="46" t="str">
        <f>IF(ABS(M219-N219)&lt;0.001,"OK","REVIEW")</f>
        <v>OK</v>
      </c>
      <c r="P219" s="49">
        <f>DATE(YEAR(D219),MONTH(D219),1)</f>
        <v>45536</v>
      </c>
    </row>
    <row r="220" ht="19" customHeight="1">
      <c r="A220" s="50" t="n">
        <v>3446</v>
      </c>
      <c r="B220" s="50" t="inlineStr">
        <is>
          <t>Diogo Martins</t>
        </is>
      </c>
      <c r="C220" s="50" t="inlineStr">
        <is>
          <t>Ultimate</t>
        </is>
      </c>
      <c r="D220" s="51" t="n">
        <v>45563</v>
      </c>
      <c r="E220" s="50" t="inlineStr">
        <is>
          <t>Yes</t>
        </is>
      </c>
      <c r="F220" s="52" t="n">
        <v>15</v>
      </c>
      <c r="G220" s="50" t="inlineStr">
        <is>
          <t>Annual</t>
        </is>
      </c>
      <c r="H220" s="50" t="inlineStr">
        <is>
          <t>Yes</t>
        </is>
      </c>
      <c r="I220" s="52" t="n">
        <v>30</v>
      </c>
      <c r="J220" s="50" t="inlineStr">
        <is>
          <t>Yes</t>
        </is>
      </c>
      <c r="K220" s="52" t="n">
        <v>20</v>
      </c>
      <c r="L220" s="52" t="n">
        <v>5</v>
      </c>
      <c r="M220" s="52" t="n">
        <v>60</v>
      </c>
      <c r="N220" s="52">
        <f>F220+I220+K220-L220</f>
        <v>60</v>
      </c>
      <c r="O220" s="50" t="str">
        <f>IF(ABS(M220-N220)&lt;0.001,"OK","REVIEW")</f>
        <v>OK</v>
      </c>
      <c r="P220" s="53">
        <f>DATE(YEAR(D220),MONTH(D220),1)</f>
        <v>45536</v>
      </c>
    </row>
    <row r="221" ht="19" customHeight="1">
      <c r="A221" s="46" t="n">
        <v>3447</v>
      </c>
      <c r="B221" s="46" t="inlineStr">
        <is>
          <t>Elisa Campos</t>
        </is>
      </c>
      <c r="C221" s="46" t="inlineStr">
        <is>
          <t>Standard</t>
        </is>
      </c>
      <c r="D221" s="47" t="n">
        <v>45564</v>
      </c>
      <c r="E221" s="46" t="inlineStr">
        <is>
          <t>No</t>
        </is>
      </c>
      <c r="F221" s="48" t="n">
        <v>10</v>
      </c>
      <c r="G221" s="46" t="inlineStr">
        <is>
          <t>Monthly</t>
        </is>
      </c>
      <c r="H221" s="46" t="inlineStr">
        <is>
          <t>No</t>
        </is>
      </c>
      <c r="I221" s="48" t="n">
        <v>0</v>
      </c>
      <c r="J221" s="46" t="inlineStr">
        <is>
          <t>Yes</t>
        </is>
      </c>
      <c r="K221" s="48" t="n">
        <v>20</v>
      </c>
      <c r="L221" s="48" t="n">
        <v>10</v>
      </c>
      <c r="M221" s="48" t="n">
        <v>20</v>
      </c>
      <c r="N221" s="48">
        <f>F221+I221+K221-L221</f>
        <v>20</v>
      </c>
      <c r="O221" s="46" t="str">
        <f>IF(ABS(M221-N221)&lt;0.001,"OK","REVIEW")</f>
        <v>OK</v>
      </c>
      <c r="P221" s="49">
        <f>DATE(YEAR(D221),MONTH(D221),1)</f>
        <v>45536</v>
      </c>
    </row>
    <row r="222" ht="19" customHeight="1">
      <c r="A222" s="50" t="n">
        <v>3448</v>
      </c>
      <c r="B222" s="50" t="inlineStr">
        <is>
          <t>Fabiana Lima</t>
        </is>
      </c>
      <c r="C222" s="50" t="inlineStr">
        <is>
          <t>Core</t>
        </is>
      </c>
      <c r="D222" s="51" t="n">
        <v>45565</v>
      </c>
      <c r="E222" s="50" t="inlineStr">
        <is>
          <t>Yes</t>
        </is>
      </c>
      <c r="F222" s="52" t="n">
        <v>5</v>
      </c>
      <c r="G222" s="50" t="inlineStr">
        <is>
          <t>Quarterly</t>
        </is>
      </c>
      <c r="H222" s="50" t="inlineStr">
        <is>
          <t>No</t>
        </is>
      </c>
      <c r="I222" s="52" t="n">
        <v>0</v>
      </c>
      <c r="J222" s="50" t="inlineStr">
        <is>
          <t>No</t>
        </is>
      </c>
      <c r="K222" s="52" t="n">
        <v>0</v>
      </c>
      <c r="L222" s="52" t="n">
        <v>0</v>
      </c>
      <c r="M222" s="52" t="n">
        <v>5</v>
      </c>
      <c r="N222" s="52">
        <f>F222+I222+K222-L222</f>
        <v>5</v>
      </c>
      <c r="O222" s="50" t="str">
        <f>IF(ABS(M222-N222)&lt;0.001,"OK","REVIEW")</f>
        <v>OK</v>
      </c>
      <c r="P222" s="53">
        <f>DATE(YEAR(D222),MONTH(D222),1)</f>
        <v>45536</v>
      </c>
    </row>
    <row r="223" ht="19" customHeight="1">
      <c r="A223" s="46" t="n">
        <v>3449</v>
      </c>
      <c r="B223" s="46" t="inlineStr">
        <is>
          <t>Gabriel Santos</t>
        </is>
      </c>
      <c r="C223" s="46" t="inlineStr">
        <is>
          <t>Ultimate</t>
        </is>
      </c>
      <c r="D223" s="47" t="n">
        <v>45566</v>
      </c>
      <c r="E223" s="46" t="inlineStr">
        <is>
          <t>No</t>
        </is>
      </c>
      <c r="F223" s="48" t="n">
        <v>15</v>
      </c>
      <c r="G223" s="46" t="inlineStr">
        <is>
          <t>Monthly</t>
        </is>
      </c>
      <c r="H223" s="46" t="inlineStr">
        <is>
          <t>Yes</t>
        </is>
      </c>
      <c r="I223" s="48" t="n">
        <v>30</v>
      </c>
      <c r="J223" s="46" t="inlineStr">
        <is>
          <t>Yes</t>
        </is>
      </c>
      <c r="K223" s="48" t="n">
        <v>20</v>
      </c>
      <c r="L223" s="48" t="n">
        <v>3</v>
      </c>
      <c r="M223" s="48" t="n">
        <v>62</v>
      </c>
      <c r="N223" s="48">
        <f>F223+I223+K223-L223</f>
        <v>62</v>
      </c>
      <c r="O223" s="46" t="str">
        <f>IF(ABS(M223-N223)&lt;0.001,"OK","REVIEW")</f>
        <v>OK</v>
      </c>
      <c r="P223" s="49">
        <f>DATE(YEAR(D223),MONTH(D223),1)</f>
        <v>45566</v>
      </c>
    </row>
    <row r="224" ht="19" customHeight="1">
      <c r="A224" s="50" t="n">
        <v>3450</v>
      </c>
      <c r="B224" s="50" t="inlineStr">
        <is>
          <t>Helena Ferreira</t>
        </is>
      </c>
      <c r="C224" s="50" t="inlineStr">
        <is>
          <t>Standard</t>
        </is>
      </c>
      <c r="D224" s="51" t="n">
        <v>45567</v>
      </c>
      <c r="E224" s="50" t="inlineStr">
        <is>
          <t>Yes</t>
        </is>
      </c>
      <c r="F224" s="52" t="n">
        <v>10</v>
      </c>
      <c r="G224" s="50" t="inlineStr">
        <is>
          <t>Annual</t>
        </is>
      </c>
      <c r="H224" s="50" t="inlineStr">
        <is>
          <t>No</t>
        </is>
      </c>
      <c r="I224" s="52" t="n">
        <v>0</v>
      </c>
      <c r="J224" s="50" t="inlineStr">
        <is>
          <t>Yes</t>
        </is>
      </c>
      <c r="K224" s="52" t="n">
        <v>20</v>
      </c>
      <c r="L224" s="52" t="n">
        <v>15</v>
      </c>
      <c r="M224" s="52" t="n">
        <v>15</v>
      </c>
      <c r="N224" s="52">
        <f>F224+I224+K224-L224</f>
        <v>15</v>
      </c>
      <c r="O224" s="50" t="str">
        <f>IF(ABS(M224-N224)&lt;0.001,"OK","REVIEW")</f>
        <v>OK</v>
      </c>
      <c r="P224" s="53">
        <f>DATE(YEAR(D224),MONTH(D224),1)</f>
        <v>45566</v>
      </c>
    </row>
    <row r="225" ht="19" customHeight="1">
      <c r="A225" s="46" t="n">
        <v>3451</v>
      </c>
      <c r="B225" s="46" t="inlineStr">
        <is>
          <t>Ígor Nunes</t>
        </is>
      </c>
      <c r="C225" s="46" t="inlineStr">
        <is>
          <t>Core</t>
        </is>
      </c>
      <c r="D225" s="47" t="n">
        <v>45568</v>
      </c>
      <c r="E225" s="46" t="inlineStr">
        <is>
          <t>No</t>
        </is>
      </c>
      <c r="F225" s="48" t="n">
        <v>5</v>
      </c>
      <c r="G225" s="46" t="inlineStr">
        <is>
          <t>Monthly</t>
        </is>
      </c>
      <c r="H225" s="46" t="inlineStr">
        <is>
          <t>No</t>
        </is>
      </c>
      <c r="I225" s="48" t="n">
        <v>0</v>
      </c>
      <c r="J225" s="46" t="inlineStr">
        <is>
          <t>No</t>
        </is>
      </c>
      <c r="K225" s="48" t="n">
        <v>0</v>
      </c>
      <c r="L225" s="48" t="n">
        <v>1</v>
      </c>
      <c r="M225" s="48" t="n">
        <v>4</v>
      </c>
      <c r="N225" s="48">
        <f>F225+I225+K225-L225</f>
        <v>4</v>
      </c>
      <c r="O225" s="46" t="str">
        <f>IF(ABS(M225-N225)&lt;0.001,"OK","REVIEW")</f>
        <v>OK</v>
      </c>
      <c r="P225" s="49">
        <f>DATE(YEAR(D225),MONTH(D225),1)</f>
        <v>45566</v>
      </c>
    </row>
    <row r="226" ht="19" customHeight="1">
      <c r="A226" s="50" t="n">
        <v>3452</v>
      </c>
      <c r="B226" s="50" t="inlineStr">
        <is>
          <t>Joana Silveira</t>
        </is>
      </c>
      <c r="C226" s="50" t="inlineStr">
        <is>
          <t>Ultimate</t>
        </is>
      </c>
      <c r="D226" s="51" t="n">
        <v>45569</v>
      </c>
      <c r="E226" s="50" t="inlineStr">
        <is>
          <t>Yes</t>
        </is>
      </c>
      <c r="F226" s="52" t="n">
        <v>15</v>
      </c>
      <c r="G226" s="50" t="inlineStr">
        <is>
          <t>Quarterly</t>
        </is>
      </c>
      <c r="H226" s="50" t="inlineStr">
        <is>
          <t>Yes</t>
        </is>
      </c>
      <c r="I226" s="52" t="n">
        <v>30</v>
      </c>
      <c r="J226" s="50" t="inlineStr">
        <is>
          <t>Yes</t>
        </is>
      </c>
      <c r="K226" s="52" t="n">
        <v>20</v>
      </c>
      <c r="L226" s="52" t="n">
        <v>7</v>
      </c>
      <c r="M226" s="52" t="n">
        <v>58</v>
      </c>
      <c r="N226" s="52">
        <f>F226+I226+K226-L226</f>
        <v>58</v>
      </c>
      <c r="O226" s="50" t="str">
        <f>IF(ABS(M226-N226)&lt;0.001,"OK","REVIEW")</f>
        <v>OK</v>
      </c>
      <c r="P226" s="53">
        <f>DATE(YEAR(D226),MONTH(D226),1)</f>
        <v>45566</v>
      </c>
    </row>
    <row r="227" ht="19" customHeight="1">
      <c r="A227" s="46" t="n">
        <v>3453</v>
      </c>
      <c r="B227" s="46" t="inlineStr">
        <is>
          <t>Kléber Oliveira</t>
        </is>
      </c>
      <c r="C227" s="46" t="inlineStr">
        <is>
          <t>Standard</t>
        </is>
      </c>
      <c r="D227" s="47" t="n">
        <v>45570</v>
      </c>
      <c r="E227" s="46" t="inlineStr">
        <is>
          <t>No</t>
        </is>
      </c>
      <c r="F227" s="48" t="n">
        <v>10</v>
      </c>
      <c r="G227" s="46" t="inlineStr">
        <is>
          <t>Monthly</t>
        </is>
      </c>
      <c r="H227" s="46" t="inlineStr">
        <is>
          <t>No</t>
        </is>
      </c>
      <c r="I227" s="48" t="n">
        <v>0</v>
      </c>
      <c r="J227" s="46" t="inlineStr">
        <is>
          <t>Yes</t>
        </is>
      </c>
      <c r="K227" s="48" t="n">
        <v>20</v>
      </c>
      <c r="L227" s="48" t="n">
        <v>10</v>
      </c>
      <c r="M227" s="48" t="n">
        <v>20</v>
      </c>
      <c r="N227" s="48">
        <f>F227+I227+K227-L227</f>
        <v>20</v>
      </c>
      <c r="O227" s="46" t="str">
        <f>IF(ABS(M227-N227)&lt;0.001,"OK","REVIEW")</f>
        <v>OK</v>
      </c>
      <c r="P227" s="49">
        <f>DATE(YEAR(D227),MONTH(D227),1)</f>
        <v>45566</v>
      </c>
    </row>
    <row r="228" ht="19" customHeight="1">
      <c r="A228" s="50" t="n">
        <v>3454</v>
      </c>
      <c r="B228" s="50" t="inlineStr">
        <is>
          <t>Luciana Morais</t>
        </is>
      </c>
      <c r="C228" s="50" t="inlineStr">
        <is>
          <t>Core</t>
        </is>
      </c>
      <c r="D228" s="51" t="n">
        <v>45571</v>
      </c>
      <c r="E228" s="50" t="inlineStr">
        <is>
          <t>Yes</t>
        </is>
      </c>
      <c r="F228" s="52" t="n">
        <v>5</v>
      </c>
      <c r="G228" s="50" t="inlineStr">
        <is>
          <t>Annual</t>
        </is>
      </c>
      <c r="H228" s="50" t="inlineStr">
        <is>
          <t>No</t>
        </is>
      </c>
      <c r="I228" s="52" t="n">
        <v>0</v>
      </c>
      <c r="J228" s="50" t="inlineStr">
        <is>
          <t>No</t>
        </is>
      </c>
      <c r="K228" s="52" t="n">
        <v>0</v>
      </c>
      <c r="L228" s="52" t="n">
        <v>0</v>
      </c>
      <c r="M228" s="52" t="n">
        <v>5</v>
      </c>
      <c r="N228" s="52">
        <f>F228+I228+K228-L228</f>
        <v>5</v>
      </c>
      <c r="O228" s="50" t="str">
        <f>IF(ABS(M228-N228)&lt;0.001,"OK","REVIEW")</f>
        <v>OK</v>
      </c>
      <c r="P228" s="53">
        <f>DATE(YEAR(D228),MONTH(D228),1)</f>
        <v>45566</v>
      </c>
    </row>
    <row r="229" ht="19" customHeight="1">
      <c r="A229" s="46" t="n">
        <v>3455</v>
      </c>
      <c r="B229" s="46" t="inlineStr">
        <is>
          <t>Marcos Vinícius</t>
        </is>
      </c>
      <c r="C229" s="46" t="inlineStr">
        <is>
          <t>Ultimate</t>
        </is>
      </c>
      <c r="D229" s="47" t="n">
        <v>45572</v>
      </c>
      <c r="E229" s="46" t="inlineStr">
        <is>
          <t>No</t>
        </is>
      </c>
      <c r="F229" s="48" t="n">
        <v>15</v>
      </c>
      <c r="G229" s="46" t="inlineStr">
        <is>
          <t>Monthly</t>
        </is>
      </c>
      <c r="H229" s="46" t="inlineStr">
        <is>
          <t>Yes</t>
        </is>
      </c>
      <c r="I229" s="48" t="n">
        <v>30</v>
      </c>
      <c r="J229" s="46" t="inlineStr">
        <is>
          <t>Yes</t>
        </is>
      </c>
      <c r="K229" s="48" t="n">
        <v>20</v>
      </c>
      <c r="L229" s="48" t="n">
        <v>20</v>
      </c>
      <c r="M229" s="48" t="n">
        <v>45</v>
      </c>
      <c r="N229" s="48">
        <f>F229+I229+K229-L229</f>
        <v>45</v>
      </c>
      <c r="O229" s="46" t="str">
        <f>IF(ABS(M229-N229)&lt;0.001,"OK","REVIEW")</f>
        <v>OK</v>
      </c>
      <c r="P229" s="49">
        <f>DATE(YEAR(D229),MONTH(D229),1)</f>
        <v>45566</v>
      </c>
    </row>
    <row r="230" ht="19" customHeight="1">
      <c r="A230" s="50" t="n">
        <v>3456</v>
      </c>
      <c r="B230" s="50" t="inlineStr">
        <is>
          <t>Natália Barros</t>
        </is>
      </c>
      <c r="C230" s="50" t="inlineStr">
        <is>
          <t>Standard</t>
        </is>
      </c>
      <c r="D230" s="51" t="n">
        <v>45573</v>
      </c>
      <c r="E230" s="50" t="inlineStr">
        <is>
          <t>Yes</t>
        </is>
      </c>
      <c r="F230" s="52" t="n">
        <v>10</v>
      </c>
      <c r="G230" s="50" t="inlineStr">
        <is>
          <t>Quarterly</t>
        </is>
      </c>
      <c r="H230" s="50" t="inlineStr">
        <is>
          <t>No</t>
        </is>
      </c>
      <c r="I230" s="52" t="n">
        <v>0</v>
      </c>
      <c r="J230" s="50" t="inlineStr">
        <is>
          <t>Yes</t>
        </is>
      </c>
      <c r="K230" s="52" t="n">
        <v>20</v>
      </c>
      <c r="L230" s="52" t="n">
        <v>15</v>
      </c>
      <c r="M230" s="52" t="n">
        <v>15</v>
      </c>
      <c r="N230" s="52">
        <f>F230+I230+K230-L230</f>
        <v>15</v>
      </c>
      <c r="O230" s="50" t="str">
        <f>IF(ABS(M230-N230)&lt;0.001,"OK","REVIEW")</f>
        <v>OK</v>
      </c>
      <c r="P230" s="53">
        <f>DATE(YEAR(D230),MONTH(D230),1)</f>
        <v>45566</v>
      </c>
    </row>
    <row r="231" ht="19" customHeight="1">
      <c r="A231" s="46" t="n">
        <v>3457</v>
      </c>
      <c r="B231" s="46" t="inlineStr">
        <is>
          <t>Oscar Sampaio</t>
        </is>
      </c>
      <c r="C231" s="46" t="inlineStr">
        <is>
          <t>Core</t>
        </is>
      </c>
      <c r="D231" s="47" t="n">
        <v>45574</v>
      </c>
      <c r="E231" s="46" t="inlineStr">
        <is>
          <t>No</t>
        </is>
      </c>
      <c r="F231" s="48" t="n">
        <v>5</v>
      </c>
      <c r="G231" s="46" t="inlineStr">
        <is>
          <t>Monthly</t>
        </is>
      </c>
      <c r="H231" s="46" t="inlineStr">
        <is>
          <t>No</t>
        </is>
      </c>
      <c r="I231" s="48" t="n">
        <v>0</v>
      </c>
      <c r="J231" s="46" t="inlineStr">
        <is>
          <t>No</t>
        </is>
      </c>
      <c r="K231" s="48" t="n">
        <v>0</v>
      </c>
      <c r="L231" s="48" t="n">
        <v>1</v>
      </c>
      <c r="M231" s="48" t="n">
        <v>4</v>
      </c>
      <c r="N231" s="48">
        <f>F231+I231+K231-L231</f>
        <v>4</v>
      </c>
      <c r="O231" s="46" t="str">
        <f>IF(ABS(M231-N231)&lt;0.001,"OK","REVIEW")</f>
        <v>OK</v>
      </c>
      <c r="P231" s="49">
        <f>DATE(YEAR(D231),MONTH(D231),1)</f>
        <v>45566</v>
      </c>
    </row>
    <row r="232" ht="19" customHeight="1">
      <c r="A232" s="50" t="n">
        <v>3458</v>
      </c>
      <c r="B232" s="50" t="inlineStr">
        <is>
          <t>Patrícia Leite</t>
        </is>
      </c>
      <c r="C232" s="50" t="inlineStr">
        <is>
          <t>Ultimate</t>
        </is>
      </c>
      <c r="D232" s="51" t="n">
        <v>45575</v>
      </c>
      <c r="E232" s="50" t="inlineStr">
        <is>
          <t>Yes</t>
        </is>
      </c>
      <c r="F232" s="52" t="n">
        <v>15</v>
      </c>
      <c r="G232" s="50" t="inlineStr">
        <is>
          <t>Annual</t>
        </is>
      </c>
      <c r="H232" s="50" t="inlineStr">
        <is>
          <t>Yes</t>
        </is>
      </c>
      <c r="I232" s="52" t="n">
        <v>30</v>
      </c>
      <c r="J232" s="50" t="inlineStr">
        <is>
          <t>Yes</t>
        </is>
      </c>
      <c r="K232" s="52" t="n">
        <v>20</v>
      </c>
      <c r="L232" s="52" t="n">
        <v>3</v>
      </c>
      <c r="M232" s="52" t="n">
        <v>62</v>
      </c>
      <c r="N232" s="52">
        <f>F232+I232+K232-L232</f>
        <v>62</v>
      </c>
      <c r="O232" s="50" t="str">
        <f>IF(ABS(M232-N232)&lt;0.001,"OK","REVIEW")</f>
        <v>OK</v>
      </c>
      <c r="P232" s="53">
        <f>DATE(YEAR(D232),MONTH(D232),1)</f>
        <v>45566</v>
      </c>
    </row>
    <row r="233" ht="19" customHeight="1">
      <c r="A233" s="46" t="n">
        <v>3459</v>
      </c>
      <c r="B233" s="46" t="inlineStr">
        <is>
          <t>Quênia Rocha</t>
        </is>
      </c>
      <c r="C233" s="46" t="inlineStr">
        <is>
          <t>Standard</t>
        </is>
      </c>
      <c r="D233" s="47" t="n">
        <v>45576</v>
      </c>
      <c r="E233" s="46" t="inlineStr">
        <is>
          <t>No</t>
        </is>
      </c>
      <c r="F233" s="48" t="n">
        <v>10</v>
      </c>
      <c r="G233" s="46" t="inlineStr">
        <is>
          <t>Monthly</t>
        </is>
      </c>
      <c r="H233" s="46" t="inlineStr">
        <is>
          <t>No</t>
        </is>
      </c>
      <c r="I233" s="48" t="n">
        <v>0</v>
      </c>
      <c r="J233" s="46" t="inlineStr">
        <is>
          <t>Yes</t>
        </is>
      </c>
      <c r="K233" s="48" t="n">
        <v>20</v>
      </c>
      <c r="L233" s="48" t="n">
        <v>10</v>
      </c>
      <c r="M233" s="48" t="n">
        <v>20</v>
      </c>
      <c r="N233" s="48">
        <f>F233+I233+K233-L233</f>
        <v>20</v>
      </c>
      <c r="O233" s="46" t="str">
        <f>IF(ABS(M233-N233)&lt;0.001,"OK","REVIEW")</f>
        <v>OK</v>
      </c>
      <c r="P233" s="49">
        <f>DATE(YEAR(D233),MONTH(D233),1)</f>
        <v>45566</v>
      </c>
    </row>
    <row r="234" ht="19" customHeight="1">
      <c r="A234" s="50" t="n">
        <v>3460</v>
      </c>
      <c r="B234" s="50" t="inlineStr">
        <is>
          <t>Rafael Torres</t>
        </is>
      </c>
      <c r="C234" s="50" t="inlineStr">
        <is>
          <t>Core</t>
        </is>
      </c>
      <c r="D234" s="51" t="n">
        <v>45577</v>
      </c>
      <c r="E234" s="50" t="inlineStr">
        <is>
          <t>Yes</t>
        </is>
      </c>
      <c r="F234" s="52" t="n">
        <v>5</v>
      </c>
      <c r="G234" s="50" t="inlineStr">
        <is>
          <t>Quarterly</t>
        </is>
      </c>
      <c r="H234" s="50" t="inlineStr">
        <is>
          <t>No</t>
        </is>
      </c>
      <c r="I234" s="52" t="n">
        <v>0</v>
      </c>
      <c r="J234" s="50" t="inlineStr">
        <is>
          <t>No</t>
        </is>
      </c>
      <c r="K234" s="52" t="n">
        <v>0</v>
      </c>
      <c r="L234" s="52" t="n">
        <v>0</v>
      </c>
      <c r="M234" s="52" t="n">
        <v>5</v>
      </c>
      <c r="N234" s="52">
        <f>F234+I234+K234-L234</f>
        <v>5</v>
      </c>
      <c r="O234" s="50" t="str">
        <f>IF(ABS(M234-N234)&lt;0.001,"OK","REVIEW")</f>
        <v>OK</v>
      </c>
      <c r="P234" s="53">
        <f>DATE(YEAR(D234),MONTH(D234),1)</f>
        <v>45566</v>
      </c>
    </row>
    <row r="235" ht="19" customHeight="1">
      <c r="A235" s="46" t="n">
        <v>3461</v>
      </c>
      <c r="B235" s="46" t="inlineStr">
        <is>
          <t>Sandra Gouveia</t>
        </is>
      </c>
      <c r="C235" s="46" t="inlineStr">
        <is>
          <t>Ultimate</t>
        </is>
      </c>
      <c r="D235" s="47" t="n">
        <v>45578</v>
      </c>
      <c r="E235" s="46" t="inlineStr">
        <is>
          <t>No</t>
        </is>
      </c>
      <c r="F235" s="48" t="n">
        <v>15</v>
      </c>
      <c r="G235" s="46" t="inlineStr">
        <is>
          <t>Monthly</t>
        </is>
      </c>
      <c r="H235" s="46" t="inlineStr">
        <is>
          <t>Yes</t>
        </is>
      </c>
      <c r="I235" s="48" t="n">
        <v>30</v>
      </c>
      <c r="J235" s="46" t="inlineStr">
        <is>
          <t>Yes</t>
        </is>
      </c>
      <c r="K235" s="48" t="n">
        <v>20</v>
      </c>
      <c r="L235" s="48" t="n">
        <v>15</v>
      </c>
      <c r="M235" s="48" t="n">
        <v>50</v>
      </c>
      <c r="N235" s="48">
        <f>F235+I235+K235-L235</f>
        <v>50</v>
      </c>
      <c r="O235" s="46" t="str">
        <f>IF(ABS(M235-N235)&lt;0.001,"OK","REVIEW")</f>
        <v>OK</v>
      </c>
      <c r="P235" s="49">
        <f>DATE(YEAR(D235),MONTH(D235),1)</f>
        <v>45566</v>
      </c>
    </row>
    <row r="236" ht="19" customHeight="1">
      <c r="A236" s="50" t="n">
        <v>3462</v>
      </c>
      <c r="B236" s="50" t="inlineStr">
        <is>
          <t>Tiago Lacerda</t>
        </is>
      </c>
      <c r="C236" s="50" t="inlineStr">
        <is>
          <t>Standard</t>
        </is>
      </c>
      <c r="D236" s="51" t="n">
        <v>45579</v>
      </c>
      <c r="E236" s="50" t="inlineStr">
        <is>
          <t>Yes</t>
        </is>
      </c>
      <c r="F236" s="52" t="n">
        <v>10</v>
      </c>
      <c r="G236" s="50" t="inlineStr">
        <is>
          <t>Annual</t>
        </is>
      </c>
      <c r="H236" s="50" t="inlineStr">
        <is>
          <t>No</t>
        </is>
      </c>
      <c r="I236" s="52" t="n">
        <v>0</v>
      </c>
      <c r="J236" s="50" t="inlineStr">
        <is>
          <t>Yes</t>
        </is>
      </c>
      <c r="K236" s="52" t="n">
        <v>20</v>
      </c>
      <c r="L236" s="52" t="n">
        <v>15</v>
      </c>
      <c r="M236" s="52" t="n">
        <v>15</v>
      </c>
      <c r="N236" s="52">
        <f>F236+I236+K236-L236</f>
        <v>15</v>
      </c>
      <c r="O236" s="50" t="str">
        <f>IF(ABS(M236-N236)&lt;0.001,"OK","REVIEW")</f>
        <v>OK</v>
      </c>
      <c r="P236" s="53">
        <f>DATE(YEAR(D236),MONTH(D236),1)</f>
        <v>45566</v>
      </c>
    </row>
    <row r="237" ht="19" customHeight="1">
      <c r="A237" s="46" t="n">
        <v>3463</v>
      </c>
      <c r="B237" s="46" t="inlineStr">
        <is>
          <t>Ursula Fonseca</t>
        </is>
      </c>
      <c r="C237" s="46" t="inlineStr">
        <is>
          <t>Core</t>
        </is>
      </c>
      <c r="D237" s="47" t="n">
        <v>45580</v>
      </c>
      <c r="E237" s="46" t="inlineStr">
        <is>
          <t>No</t>
        </is>
      </c>
      <c r="F237" s="48" t="n">
        <v>5</v>
      </c>
      <c r="G237" s="46" t="inlineStr">
        <is>
          <t>Monthly</t>
        </is>
      </c>
      <c r="H237" s="46" t="inlineStr">
        <is>
          <t>No</t>
        </is>
      </c>
      <c r="I237" s="48" t="n">
        <v>0</v>
      </c>
      <c r="J237" s="46" t="inlineStr">
        <is>
          <t>No</t>
        </is>
      </c>
      <c r="K237" s="48" t="n">
        <v>0</v>
      </c>
      <c r="L237" s="48" t="n">
        <v>1</v>
      </c>
      <c r="M237" s="48" t="n">
        <v>4</v>
      </c>
      <c r="N237" s="48">
        <f>F237+I237+K237-L237</f>
        <v>4</v>
      </c>
      <c r="O237" s="46" t="str">
        <f>IF(ABS(M237-N237)&lt;0.001,"OK","REVIEW")</f>
        <v>OK</v>
      </c>
      <c r="P237" s="49">
        <f>DATE(YEAR(D237),MONTH(D237),1)</f>
        <v>45566</v>
      </c>
    </row>
    <row r="238" ht="19" customHeight="1">
      <c r="A238" s="50" t="n">
        <v>3464</v>
      </c>
      <c r="B238" s="50" t="inlineStr">
        <is>
          <t>Vanessa Andrade</t>
        </is>
      </c>
      <c r="C238" s="50" t="inlineStr">
        <is>
          <t>Ultimate</t>
        </is>
      </c>
      <c r="D238" s="51" t="n">
        <v>45581</v>
      </c>
      <c r="E238" s="50" t="inlineStr">
        <is>
          <t>Yes</t>
        </is>
      </c>
      <c r="F238" s="52" t="n">
        <v>15</v>
      </c>
      <c r="G238" s="50" t="inlineStr">
        <is>
          <t>Quarterly</t>
        </is>
      </c>
      <c r="H238" s="50" t="inlineStr">
        <is>
          <t>Yes</t>
        </is>
      </c>
      <c r="I238" s="52" t="n">
        <v>30</v>
      </c>
      <c r="J238" s="50" t="inlineStr">
        <is>
          <t>Yes</t>
        </is>
      </c>
      <c r="K238" s="52" t="n">
        <v>20</v>
      </c>
      <c r="L238" s="52" t="n">
        <v>7</v>
      </c>
      <c r="M238" s="52" t="n">
        <v>58</v>
      </c>
      <c r="N238" s="52">
        <f>F238+I238+K238-L238</f>
        <v>58</v>
      </c>
      <c r="O238" s="50" t="str">
        <f>IF(ABS(M238-N238)&lt;0.001,"OK","REVIEW")</f>
        <v>OK</v>
      </c>
      <c r="P238" s="53">
        <f>DATE(YEAR(D238),MONTH(D238),1)</f>
        <v>45566</v>
      </c>
    </row>
    <row r="239" ht="19" customHeight="1">
      <c r="A239" s="46" t="n">
        <v>3465</v>
      </c>
      <c r="B239" s="46" t="inlineStr">
        <is>
          <t>William Castro</t>
        </is>
      </c>
      <c r="C239" s="46" t="inlineStr">
        <is>
          <t>Standard</t>
        </is>
      </c>
      <c r="D239" s="47" t="n">
        <v>45582</v>
      </c>
      <c r="E239" s="46" t="inlineStr">
        <is>
          <t>No</t>
        </is>
      </c>
      <c r="F239" s="48" t="n">
        <v>10</v>
      </c>
      <c r="G239" s="46" t="inlineStr">
        <is>
          <t>Monthly</t>
        </is>
      </c>
      <c r="H239" s="46" t="inlineStr">
        <is>
          <t>No</t>
        </is>
      </c>
      <c r="I239" s="48" t="n">
        <v>0</v>
      </c>
      <c r="J239" s="46" t="inlineStr">
        <is>
          <t>Yes</t>
        </is>
      </c>
      <c r="K239" s="48" t="n">
        <v>20</v>
      </c>
      <c r="L239" s="48" t="n">
        <v>10</v>
      </c>
      <c r="M239" s="48" t="n">
        <v>20</v>
      </c>
      <c r="N239" s="48">
        <f>F239+I239+K239-L239</f>
        <v>20</v>
      </c>
      <c r="O239" s="46" t="str">
        <f>IF(ABS(M239-N239)&lt;0.001,"OK","REVIEW")</f>
        <v>OK</v>
      </c>
      <c r="P239" s="49">
        <f>DATE(YEAR(D239),MONTH(D239),1)</f>
        <v>45566</v>
      </c>
    </row>
    <row r="240" ht="19" customHeight="1">
      <c r="A240" s="50" t="n">
        <v>3466</v>
      </c>
      <c r="B240" s="50" t="inlineStr">
        <is>
          <t>Xavier Monteiro</t>
        </is>
      </c>
      <c r="C240" s="50" t="inlineStr">
        <is>
          <t>Core</t>
        </is>
      </c>
      <c r="D240" s="51" t="n">
        <v>45583</v>
      </c>
      <c r="E240" s="50" t="inlineStr">
        <is>
          <t>Yes</t>
        </is>
      </c>
      <c r="F240" s="52" t="n">
        <v>5</v>
      </c>
      <c r="G240" s="50" t="inlineStr">
        <is>
          <t>Annual</t>
        </is>
      </c>
      <c r="H240" s="50" t="inlineStr">
        <is>
          <t>No</t>
        </is>
      </c>
      <c r="I240" s="52" t="n">
        <v>0</v>
      </c>
      <c r="J240" s="50" t="inlineStr">
        <is>
          <t>No</t>
        </is>
      </c>
      <c r="K240" s="52" t="n">
        <v>0</v>
      </c>
      <c r="L240" s="52" t="n">
        <v>0</v>
      </c>
      <c r="M240" s="52" t="n">
        <v>5</v>
      </c>
      <c r="N240" s="52">
        <f>F240+I240+K240-L240</f>
        <v>5</v>
      </c>
      <c r="O240" s="50" t="str">
        <f>IF(ABS(M240-N240)&lt;0.001,"OK","REVIEW")</f>
        <v>OK</v>
      </c>
      <c r="P240" s="53">
        <f>DATE(YEAR(D240),MONTH(D240),1)</f>
        <v>45566</v>
      </c>
    </row>
    <row r="241" ht="19" customHeight="1">
      <c r="A241" s="46" t="n">
        <v>3467</v>
      </c>
      <c r="B241" s="46" t="inlineStr">
        <is>
          <t>Yasmin Figueira</t>
        </is>
      </c>
      <c r="C241" s="46" t="inlineStr">
        <is>
          <t>Ultimate</t>
        </is>
      </c>
      <c r="D241" s="47" t="n">
        <v>45584</v>
      </c>
      <c r="E241" s="46" t="inlineStr">
        <is>
          <t>No</t>
        </is>
      </c>
      <c r="F241" s="48" t="n">
        <v>15</v>
      </c>
      <c r="G241" s="46" t="inlineStr">
        <is>
          <t>Monthly</t>
        </is>
      </c>
      <c r="H241" s="46" t="inlineStr">
        <is>
          <t>Yes</t>
        </is>
      </c>
      <c r="I241" s="48" t="n">
        <v>30</v>
      </c>
      <c r="J241" s="46" t="inlineStr">
        <is>
          <t>Yes</t>
        </is>
      </c>
      <c r="K241" s="48" t="n">
        <v>20</v>
      </c>
      <c r="L241" s="48" t="n">
        <v>15</v>
      </c>
      <c r="M241" s="48" t="n">
        <v>50</v>
      </c>
      <c r="N241" s="48">
        <f>F241+I241+K241-L241</f>
        <v>50</v>
      </c>
      <c r="O241" s="46" t="str">
        <f>IF(ABS(M241-N241)&lt;0.001,"OK","REVIEW")</f>
        <v>OK</v>
      </c>
      <c r="P241" s="49">
        <f>DATE(YEAR(D241),MONTH(D241),1)</f>
        <v>45566</v>
      </c>
    </row>
    <row r="242" ht="19" customHeight="1">
      <c r="A242" s="50" t="n">
        <v>3468</v>
      </c>
      <c r="B242" s="50" t="inlineStr">
        <is>
          <t>Zacarias Mendonça</t>
        </is>
      </c>
      <c r="C242" s="50" t="inlineStr">
        <is>
          <t>Standard</t>
        </is>
      </c>
      <c r="D242" s="51" t="n">
        <v>45585</v>
      </c>
      <c r="E242" s="50" t="inlineStr">
        <is>
          <t>Yes</t>
        </is>
      </c>
      <c r="F242" s="52" t="n">
        <v>10</v>
      </c>
      <c r="G242" s="50" t="inlineStr">
        <is>
          <t>Quarterly</t>
        </is>
      </c>
      <c r="H242" s="50" t="inlineStr">
        <is>
          <t>No</t>
        </is>
      </c>
      <c r="I242" s="52" t="n">
        <v>0</v>
      </c>
      <c r="J242" s="50" t="inlineStr">
        <is>
          <t>Yes</t>
        </is>
      </c>
      <c r="K242" s="52" t="n">
        <v>20</v>
      </c>
      <c r="L242" s="52" t="n">
        <v>12</v>
      </c>
      <c r="M242" s="52" t="n">
        <v>18</v>
      </c>
      <c r="N242" s="52">
        <f>F242+I242+K242-L242</f>
        <v>18</v>
      </c>
      <c r="O242" s="50" t="str">
        <f>IF(ABS(M242-N242)&lt;0.001,"OK","REVIEW")</f>
        <v>OK</v>
      </c>
      <c r="P242" s="53">
        <f>DATE(YEAR(D242),MONTH(D242),1)</f>
        <v>45566</v>
      </c>
    </row>
    <row r="243" ht="19" customHeight="1">
      <c r="A243" s="46" t="n">
        <v>3469</v>
      </c>
      <c r="B243" s="46" t="inlineStr">
        <is>
          <t>Amanda Menezes</t>
        </is>
      </c>
      <c r="C243" s="46" t="inlineStr">
        <is>
          <t>Core</t>
        </is>
      </c>
      <c r="D243" s="47" t="n">
        <v>45586</v>
      </c>
      <c r="E243" s="46" t="inlineStr">
        <is>
          <t>No</t>
        </is>
      </c>
      <c r="F243" s="48" t="n">
        <v>5</v>
      </c>
      <c r="G243" s="46" t="inlineStr">
        <is>
          <t>Monthly</t>
        </is>
      </c>
      <c r="H243" s="46" t="inlineStr">
        <is>
          <t>No</t>
        </is>
      </c>
      <c r="I243" s="48" t="n">
        <v>0</v>
      </c>
      <c r="J243" s="46" t="inlineStr">
        <is>
          <t>No</t>
        </is>
      </c>
      <c r="K243" s="48" t="n">
        <v>0</v>
      </c>
      <c r="L243" s="48" t="n">
        <v>2</v>
      </c>
      <c r="M243" s="48" t="n">
        <v>3</v>
      </c>
      <c r="N243" s="48">
        <f>F243+I243+K243-L243</f>
        <v>3</v>
      </c>
      <c r="O243" s="46" t="str">
        <f>IF(ABS(M243-N243)&lt;0.001,"OK","REVIEW")</f>
        <v>OK</v>
      </c>
      <c r="P243" s="49">
        <f>DATE(YEAR(D243),MONTH(D243),1)</f>
        <v>45566</v>
      </c>
    </row>
    <row r="244" ht="19" customHeight="1">
      <c r="A244" s="50" t="n">
        <v>3470</v>
      </c>
      <c r="B244" s="50" t="inlineStr">
        <is>
          <t>Bruno Santos</t>
        </is>
      </c>
      <c r="C244" s="50" t="inlineStr">
        <is>
          <t>Ultimate</t>
        </is>
      </c>
      <c r="D244" s="51" t="n">
        <v>45587</v>
      </c>
      <c r="E244" s="50" t="inlineStr">
        <is>
          <t>Yes</t>
        </is>
      </c>
      <c r="F244" s="52" t="n">
        <v>15</v>
      </c>
      <c r="G244" s="50" t="inlineStr">
        <is>
          <t>Annual</t>
        </is>
      </c>
      <c r="H244" s="50" t="inlineStr">
        <is>
          <t>Yes</t>
        </is>
      </c>
      <c r="I244" s="52" t="n">
        <v>30</v>
      </c>
      <c r="J244" s="50" t="inlineStr">
        <is>
          <t>Yes</t>
        </is>
      </c>
      <c r="K244" s="52" t="n">
        <v>20</v>
      </c>
      <c r="L244" s="52" t="n">
        <v>5</v>
      </c>
      <c r="M244" s="52" t="n">
        <v>60</v>
      </c>
      <c r="N244" s="52">
        <f>F244+I244+K244-L244</f>
        <v>60</v>
      </c>
      <c r="O244" s="50" t="str">
        <f>IF(ABS(M244-N244)&lt;0.001,"OK","REVIEW")</f>
        <v>OK</v>
      </c>
      <c r="P244" s="53">
        <f>DATE(YEAR(D244),MONTH(D244),1)</f>
        <v>45566</v>
      </c>
    </row>
    <row r="245" ht="19" customHeight="1">
      <c r="A245" s="46" t="n">
        <v>3471</v>
      </c>
      <c r="B245" s="46" t="inlineStr">
        <is>
          <t>Carla Ferreira</t>
        </is>
      </c>
      <c r="C245" s="46" t="inlineStr">
        <is>
          <t>Standard</t>
        </is>
      </c>
      <c r="D245" s="47" t="n">
        <v>45588</v>
      </c>
      <c r="E245" s="46" t="inlineStr">
        <is>
          <t>No</t>
        </is>
      </c>
      <c r="F245" s="48" t="n">
        <v>10</v>
      </c>
      <c r="G245" s="46" t="inlineStr">
        <is>
          <t>Monthly</t>
        </is>
      </c>
      <c r="H245" s="46" t="inlineStr">
        <is>
          <t>No</t>
        </is>
      </c>
      <c r="I245" s="48" t="n">
        <v>0</v>
      </c>
      <c r="J245" s="46" t="inlineStr">
        <is>
          <t>Yes</t>
        </is>
      </c>
      <c r="K245" s="48" t="n">
        <v>20</v>
      </c>
      <c r="L245" s="48" t="n">
        <v>10</v>
      </c>
      <c r="M245" s="48" t="n">
        <v>20</v>
      </c>
      <c r="N245" s="48">
        <f>F245+I245+K245-L245</f>
        <v>20</v>
      </c>
      <c r="O245" s="46" t="str">
        <f>IF(ABS(M245-N245)&lt;0.001,"OK","REVIEW")</f>
        <v>OK</v>
      </c>
      <c r="P245" s="49">
        <f>DATE(YEAR(D245),MONTH(D245),1)</f>
        <v>45566</v>
      </c>
    </row>
    <row r="246" ht="19" customHeight="1">
      <c r="A246" s="50" t="n">
        <v>3472</v>
      </c>
      <c r="B246" s="50" t="inlineStr">
        <is>
          <t>Diogo Alves</t>
        </is>
      </c>
      <c r="C246" s="50" t="inlineStr">
        <is>
          <t>Core</t>
        </is>
      </c>
      <c r="D246" s="51" t="n">
        <v>45589</v>
      </c>
      <c r="E246" s="50" t="inlineStr">
        <is>
          <t>Yes</t>
        </is>
      </c>
      <c r="F246" s="52" t="n">
        <v>5</v>
      </c>
      <c r="G246" s="50" t="inlineStr">
        <is>
          <t>Quarterly</t>
        </is>
      </c>
      <c r="H246" s="50" t="inlineStr">
        <is>
          <t>No</t>
        </is>
      </c>
      <c r="I246" s="52" t="n">
        <v>0</v>
      </c>
      <c r="J246" s="50" t="inlineStr">
        <is>
          <t>No</t>
        </is>
      </c>
      <c r="K246" s="52" t="n">
        <v>0</v>
      </c>
      <c r="L246" s="52" t="n">
        <v>0</v>
      </c>
      <c r="M246" s="52" t="n">
        <v>5</v>
      </c>
      <c r="N246" s="52">
        <f>F246+I246+K246-L246</f>
        <v>5</v>
      </c>
      <c r="O246" s="50" t="str">
        <f>IF(ABS(M246-N246)&lt;0.001,"OK","REVIEW")</f>
        <v>OK</v>
      </c>
      <c r="P246" s="53">
        <f>DATE(YEAR(D246),MONTH(D246),1)</f>
        <v>45566</v>
      </c>
    </row>
    <row r="247" ht="19" customHeight="1">
      <c r="A247" s="46" t="n">
        <v>3473</v>
      </c>
      <c r="B247" s="46" t="inlineStr">
        <is>
          <t>Elisa Neves</t>
        </is>
      </c>
      <c r="C247" s="46" t="inlineStr">
        <is>
          <t>Ultimate</t>
        </is>
      </c>
      <c r="D247" s="47" t="n">
        <v>45590</v>
      </c>
      <c r="E247" s="46" t="inlineStr">
        <is>
          <t>No</t>
        </is>
      </c>
      <c r="F247" s="48" t="n">
        <v>15</v>
      </c>
      <c r="G247" s="46" t="inlineStr">
        <is>
          <t>Monthly</t>
        </is>
      </c>
      <c r="H247" s="46" t="inlineStr">
        <is>
          <t>Yes</t>
        </is>
      </c>
      <c r="I247" s="48" t="n">
        <v>30</v>
      </c>
      <c r="J247" s="46" t="inlineStr">
        <is>
          <t>Yes</t>
        </is>
      </c>
      <c r="K247" s="48" t="n">
        <v>20</v>
      </c>
      <c r="L247" s="48" t="n">
        <v>3</v>
      </c>
      <c r="M247" s="48" t="n">
        <v>62</v>
      </c>
      <c r="N247" s="48">
        <f>F247+I247+K247-L247</f>
        <v>62</v>
      </c>
      <c r="O247" s="46" t="str">
        <f>IF(ABS(M247-N247)&lt;0.001,"OK","REVIEW")</f>
        <v>OK</v>
      </c>
      <c r="P247" s="49">
        <f>DATE(YEAR(D247),MONTH(D247),1)</f>
        <v>45566</v>
      </c>
    </row>
    <row r="248" ht="19" customHeight="1">
      <c r="A248" s="50" t="n">
        <v>3474</v>
      </c>
      <c r="B248" s="50" t="inlineStr">
        <is>
          <t>Fabiano Pires</t>
        </is>
      </c>
      <c r="C248" s="50" t="inlineStr">
        <is>
          <t>Standard</t>
        </is>
      </c>
      <c r="D248" s="51" t="n">
        <v>45591</v>
      </c>
      <c r="E248" s="50" t="inlineStr">
        <is>
          <t>Yes</t>
        </is>
      </c>
      <c r="F248" s="52" t="n">
        <v>10</v>
      </c>
      <c r="G248" s="50" t="inlineStr">
        <is>
          <t>Annual</t>
        </is>
      </c>
      <c r="H248" s="50" t="inlineStr">
        <is>
          <t>No</t>
        </is>
      </c>
      <c r="I248" s="52" t="n">
        <v>0</v>
      </c>
      <c r="J248" s="50" t="inlineStr">
        <is>
          <t>Yes</t>
        </is>
      </c>
      <c r="K248" s="52" t="n">
        <v>20</v>
      </c>
      <c r="L248" s="52" t="n">
        <v>15</v>
      </c>
      <c r="M248" s="52" t="n">
        <v>15</v>
      </c>
      <c r="N248" s="52">
        <f>F248+I248+K248-L248</f>
        <v>15</v>
      </c>
      <c r="O248" s="50" t="str">
        <f>IF(ABS(M248-N248)&lt;0.001,"OK","REVIEW")</f>
        <v>OK</v>
      </c>
      <c r="P248" s="53">
        <f>DATE(YEAR(D248),MONTH(D248),1)</f>
        <v>45566</v>
      </c>
    </row>
    <row r="249" ht="19" customHeight="1">
      <c r="A249" s="46" t="n">
        <v>3475</v>
      </c>
      <c r="B249" s="46" t="inlineStr">
        <is>
          <t>Giovana Ribeiro</t>
        </is>
      </c>
      <c r="C249" s="46" t="inlineStr">
        <is>
          <t>Core</t>
        </is>
      </c>
      <c r="D249" s="47" t="n">
        <v>45592</v>
      </c>
      <c r="E249" s="46" t="inlineStr">
        <is>
          <t>No</t>
        </is>
      </c>
      <c r="F249" s="48" t="n">
        <v>5</v>
      </c>
      <c r="G249" s="46" t="inlineStr">
        <is>
          <t>Monthly</t>
        </is>
      </c>
      <c r="H249" s="46" t="inlineStr">
        <is>
          <t>No</t>
        </is>
      </c>
      <c r="I249" s="48" t="n">
        <v>0</v>
      </c>
      <c r="J249" s="46" t="inlineStr">
        <is>
          <t>No</t>
        </is>
      </c>
      <c r="K249" s="48" t="n">
        <v>0</v>
      </c>
      <c r="L249" s="48" t="n">
        <v>1</v>
      </c>
      <c r="M249" s="48" t="n">
        <v>4</v>
      </c>
      <c r="N249" s="48">
        <f>F249+I249+K249-L249</f>
        <v>4</v>
      </c>
      <c r="O249" s="46" t="str">
        <f>IF(ABS(M249-N249)&lt;0.001,"OK","REVIEW")</f>
        <v>OK</v>
      </c>
      <c r="P249" s="49">
        <f>DATE(YEAR(D249),MONTH(D249),1)</f>
        <v>45566</v>
      </c>
    </row>
    <row r="250" ht="19" customHeight="1">
      <c r="A250" s="50" t="n">
        <v>3476</v>
      </c>
      <c r="B250" s="50" t="inlineStr">
        <is>
          <t>Hélio Costa</t>
        </is>
      </c>
      <c r="C250" s="50" t="inlineStr">
        <is>
          <t>Ultimate</t>
        </is>
      </c>
      <c r="D250" s="51" t="n">
        <v>45593</v>
      </c>
      <c r="E250" s="50" t="inlineStr">
        <is>
          <t>Yes</t>
        </is>
      </c>
      <c r="F250" s="52" t="n">
        <v>15</v>
      </c>
      <c r="G250" s="50" t="inlineStr">
        <is>
          <t>Quarterly</t>
        </is>
      </c>
      <c r="H250" s="50" t="inlineStr">
        <is>
          <t>Yes</t>
        </is>
      </c>
      <c r="I250" s="52" t="n">
        <v>30</v>
      </c>
      <c r="J250" s="50" t="inlineStr">
        <is>
          <t>Yes</t>
        </is>
      </c>
      <c r="K250" s="52" t="n">
        <v>20</v>
      </c>
      <c r="L250" s="52" t="n">
        <v>7</v>
      </c>
      <c r="M250" s="52" t="n">
        <v>58</v>
      </c>
      <c r="N250" s="52">
        <f>F250+I250+K250-L250</f>
        <v>58</v>
      </c>
      <c r="O250" s="50" t="str">
        <f>IF(ABS(M250-N250)&lt;0.001,"OK","REVIEW")</f>
        <v>OK</v>
      </c>
      <c r="P250" s="53">
        <f>DATE(YEAR(D250),MONTH(D250),1)</f>
        <v>45566</v>
      </c>
    </row>
    <row r="251" ht="19" customHeight="1">
      <c r="A251" s="46" t="n">
        <v>3477</v>
      </c>
      <c r="B251" s="46" t="inlineStr">
        <is>
          <t>Íris Loureiro</t>
        </is>
      </c>
      <c r="C251" s="46" t="inlineStr">
        <is>
          <t>Standard</t>
        </is>
      </c>
      <c r="D251" s="47" t="n">
        <v>45594</v>
      </c>
      <c r="E251" s="46" t="inlineStr">
        <is>
          <t>No</t>
        </is>
      </c>
      <c r="F251" s="48" t="n">
        <v>10</v>
      </c>
      <c r="G251" s="46" t="inlineStr">
        <is>
          <t>Monthly</t>
        </is>
      </c>
      <c r="H251" s="46" t="inlineStr">
        <is>
          <t>No</t>
        </is>
      </c>
      <c r="I251" s="48" t="n">
        <v>0</v>
      </c>
      <c r="J251" s="46" t="inlineStr">
        <is>
          <t>Yes</t>
        </is>
      </c>
      <c r="K251" s="48" t="n">
        <v>20</v>
      </c>
      <c r="L251" s="48" t="n">
        <v>10</v>
      </c>
      <c r="M251" s="48" t="n">
        <v>20</v>
      </c>
      <c r="N251" s="48">
        <f>F251+I251+K251-L251</f>
        <v>20</v>
      </c>
      <c r="O251" s="46" t="str">
        <f>IF(ABS(M251-N251)&lt;0.001,"OK","REVIEW")</f>
        <v>OK</v>
      </c>
      <c r="P251" s="49">
        <f>DATE(YEAR(D251),MONTH(D251),1)</f>
        <v>45566</v>
      </c>
    </row>
    <row r="252" ht="19" customHeight="1">
      <c r="A252" s="50" t="n">
        <v>3478</v>
      </c>
      <c r="B252" s="50" t="inlineStr">
        <is>
          <t>João Pereira</t>
        </is>
      </c>
      <c r="C252" s="50" t="inlineStr">
        <is>
          <t>Core</t>
        </is>
      </c>
      <c r="D252" s="51" t="n">
        <v>45595</v>
      </c>
      <c r="E252" s="50" t="inlineStr">
        <is>
          <t>Yes</t>
        </is>
      </c>
      <c r="F252" s="52" t="n">
        <v>5</v>
      </c>
      <c r="G252" s="50" t="inlineStr">
        <is>
          <t>Annual</t>
        </is>
      </c>
      <c r="H252" s="50" t="inlineStr">
        <is>
          <t>No</t>
        </is>
      </c>
      <c r="I252" s="52" t="n">
        <v>0</v>
      </c>
      <c r="J252" s="50" t="inlineStr">
        <is>
          <t>No</t>
        </is>
      </c>
      <c r="K252" s="52" t="n">
        <v>0</v>
      </c>
      <c r="L252" s="52" t="n">
        <v>0</v>
      </c>
      <c r="M252" s="52" t="n">
        <v>5</v>
      </c>
      <c r="N252" s="52">
        <f>F252+I252+K252-L252</f>
        <v>5</v>
      </c>
      <c r="O252" s="50" t="str">
        <f>IF(ABS(M252-N252)&lt;0.001,"OK","REVIEW")</f>
        <v>OK</v>
      </c>
      <c r="P252" s="53">
        <f>DATE(YEAR(D252),MONTH(D252),1)</f>
        <v>45566</v>
      </c>
    </row>
    <row r="253" ht="19" customHeight="1">
      <c r="A253" s="46" t="n">
        <v>3479</v>
      </c>
      <c r="B253" s="46" t="inlineStr">
        <is>
          <t>Klara Silva</t>
        </is>
      </c>
      <c r="C253" s="46" t="inlineStr">
        <is>
          <t>Ultimate</t>
        </is>
      </c>
      <c r="D253" s="47" t="n">
        <v>45596</v>
      </c>
      <c r="E253" s="46" t="inlineStr">
        <is>
          <t>No</t>
        </is>
      </c>
      <c r="F253" s="48" t="n">
        <v>15</v>
      </c>
      <c r="G253" s="46" t="inlineStr">
        <is>
          <t>Monthly</t>
        </is>
      </c>
      <c r="H253" s="46" t="inlineStr">
        <is>
          <t>Yes</t>
        </is>
      </c>
      <c r="I253" s="48" t="n">
        <v>30</v>
      </c>
      <c r="J253" s="46" t="inlineStr">
        <is>
          <t>Yes</t>
        </is>
      </c>
      <c r="K253" s="48" t="n">
        <v>20</v>
      </c>
      <c r="L253" s="48" t="n">
        <v>20</v>
      </c>
      <c r="M253" s="48" t="n">
        <v>45</v>
      </c>
      <c r="N253" s="48">
        <f>F253+I253+K253-L253</f>
        <v>45</v>
      </c>
      <c r="O253" s="46" t="str">
        <f>IF(ABS(M253-N253)&lt;0.001,"OK","REVIEW")</f>
        <v>OK</v>
      </c>
      <c r="P253" s="49">
        <f>DATE(YEAR(D253),MONTH(D253),1)</f>
        <v>45566</v>
      </c>
    </row>
    <row r="254" ht="19" customHeight="1">
      <c r="A254" s="50" t="n">
        <v>3480</v>
      </c>
      <c r="B254" s="50" t="inlineStr">
        <is>
          <t>Luciana Barros</t>
        </is>
      </c>
      <c r="C254" s="50" t="inlineStr">
        <is>
          <t>Standard</t>
        </is>
      </c>
      <c r="D254" s="51" t="n">
        <v>45597</v>
      </c>
      <c r="E254" s="50" t="inlineStr">
        <is>
          <t>Yes</t>
        </is>
      </c>
      <c r="F254" s="52" t="n">
        <v>10</v>
      </c>
      <c r="G254" s="50" t="inlineStr">
        <is>
          <t>Quarterly</t>
        </is>
      </c>
      <c r="H254" s="50" t="inlineStr">
        <is>
          <t>No</t>
        </is>
      </c>
      <c r="I254" s="52" t="n">
        <v>0</v>
      </c>
      <c r="J254" s="50" t="inlineStr">
        <is>
          <t>Yes</t>
        </is>
      </c>
      <c r="K254" s="52" t="n">
        <v>20</v>
      </c>
      <c r="L254" s="52" t="n">
        <v>15</v>
      </c>
      <c r="M254" s="52" t="n">
        <v>15</v>
      </c>
      <c r="N254" s="52">
        <f>F254+I254+K254-L254</f>
        <v>15</v>
      </c>
      <c r="O254" s="50" t="str">
        <f>IF(ABS(M254-N254)&lt;0.001,"OK","REVIEW")</f>
        <v>OK</v>
      </c>
      <c r="P254" s="53">
        <f>DATE(YEAR(D254),MONTH(D254),1)</f>
        <v>45597</v>
      </c>
    </row>
    <row r="255" ht="19" customHeight="1">
      <c r="A255" s="46" t="n">
        <v>3481</v>
      </c>
      <c r="B255" s="46" t="inlineStr">
        <is>
          <t>Marcos Gomes</t>
        </is>
      </c>
      <c r="C255" s="46" t="inlineStr">
        <is>
          <t>Core</t>
        </is>
      </c>
      <c r="D255" s="47" t="n">
        <v>45598</v>
      </c>
      <c r="E255" s="46" t="inlineStr">
        <is>
          <t>No</t>
        </is>
      </c>
      <c r="F255" s="48" t="n">
        <v>5</v>
      </c>
      <c r="G255" s="46" t="inlineStr">
        <is>
          <t>Monthly</t>
        </is>
      </c>
      <c r="H255" s="46" t="inlineStr">
        <is>
          <t>No</t>
        </is>
      </c>
      <c r="I255" s="48" t="n">
        <v>0</v>
      </c>
      <c r="J255" s="46" t="inlineStr">
        <is>
          <t>No</t>
        </is>
      </c>
      <c r="K255" s="48" t="n">
        <v>0</v>
      </c>
      <c r="L255" s="48" t="n">
        <v>1</v>
      </c>
      <c r="M255" s="48" t="n">
        <v>4</v>
      </c>
      <c r="N255" s="48">
        <f>F255+I255+K255-L255</f>
        <v>4</v>
      </c>
      <c r="O255" s="46" t="str">
        <f>IF(ABS(M255-N255)&lt;0.001,"OK","REVIEW")</f>
        <v>OK</v>
      </c>
      <c r="P255" s="49">
        <f>DATE(YEAR(D255),MONTH(D255),1)</f>
        <v>45597</v>
      </c>
    </row>
    <row r="256" ht="19" customHeight="1">
      <c r="A256" s="50" t="n">
        <v>3482</v>
      </c>
      <c r="B256" s="50" t="inlineStr">
        <is>
          <t>Natália Soares</t>
        </is>
      </c>
      <c r="C256" s="50" t="inlineStr">
        <is>
          <t>Ultimate</t>
        </is>
      </c>
      <c r="D256" s="51" t="n">
        <v>45599</v>
      </c>
      <c r="E256" s="50" t="inlineStr">
        <is>
          <t>Yes</t>
        </is>
      </c>
      <c r="F256" s="52" t="n">
        <v>15</v>
      </c>
      <c r="G256" s="50" t="inlineStr">
        <is>
          <t>Annual</t>
        </is>
      </c>
      <c r="H256" s="50" t="inlineStr">
        <is>
          <t>Yes</t>
        </is>
      </c>
      <c r="I256" s="52" t="n">
        <v>30</v>
      </c>
      <c r="J256" s="50" t="inlineStr">
        <is>
          <t>Yes</t>
        </is>
      </c>
      <c r="K256" s="52" t="n">
        <v>20</v>
      </c>
      <c r="L256" s="52" t="n">
        <v>3</v>
      </c>
      <c r="M256" s="52" t="n">
        <v>62</v>
      </c>
      <c r="N256" s="52">
        <f>F256+I256+K256-L256</f>
        <v>62</v>
      </c>
      <c r="O256" s="50" t="str">
        <f>IF(ABS(M256-N256)&lt;0.001,"OK","REVIEW")</f>
        <v>OK</v>
      </c>
      <c r="P256" s="53">
        <f>DATE(YEAR(D256),MONTH(D256),1)</f>
        <v>45597</v>
      </c>
    </row>
    <row r="257" ht="19" customHeight="1">
      <c r="A257" s="46" t="n">
        <v>3483</v>
      </c>
      <c r="B257" s="46" t="inlineStr">
        <is>
          <t>Oscar Machado</t>
        </is>
      </c>
      <c r="C257" s="46" t="inlineStr">
        <is>
          <t>Standard</t>
        </is>
      </c>
      <c r="D257" s="47" t="n">
        <v>45600</v>
      </c>
      <c r="E257" s="46" t="inlineStr">
        <is>
          <t>No</t>
        </is>
      </c>
      <c r="F257" s="48" t="n">
        <v>10</v>
      </c>
      <c r="G257" s="46" t="inlineStr">
        <is>
          <t>Monthly</t>
        </is>
      </c>
      <c r="H257" s="46" t="inlineStr">
        <is>
          <t>No</t>
        </is>
      </c>
      <c r="I257" s="48" t="n">
        <v>0</v>
      </c>
      <c r="J257" s="46" t="inlineStr">
        <is>
          <t>Yes</t>
        </is>
      </c>
      <c r="K257" s="48" t="n">
        <v>20</v>
      </c>
      <c r="L257" s="48" t="n">
        <v>10</v>
      </c>
      <c r="M257" s="48" t="n">
        <v>20</v>
      </c>
      <c r="N257" s="48">
        <f>F257+I257+K257-L257</f>
        <v>20</v>
      </c>
      <c r="O257" s="46" t="str">
        <f>IF(ABS(M257-N257)&lt;0.001,"OK","REVIEW")</f>
        <v>OK</v>
      </c>
      <c r="P257" s="49">
        <f>DATE(YEAR(D257),MONTH(D257),1)</f>
        <v>45597</v>
      </c>
    </row>
    <row r="258" ht="19" customHeight="1">
      <c r="A258" s="50" t="n">
        <v>3484</v>
      </c>
      <c r="B258" s="50" t="inlineStr">
        <is>
          <t>Patrícia Lima</t>
        </is>
      </c>
      <c r="C258" s="50" t="inlineStr">
        <is>
          <t>Core</t>
        </is>
      </c>
      <c r="D258" s="51" t="n">
        <v>45601</v>
      </c>
      <c r="E258" s="50" t="inlineStr">
        <is>
          <t>Yes</t>
        </is>
      </c>
      <c r="F258" s="52" t="n">
        <v>5</v>
      </c>
      <c r="G258" s="50" t="inlineStr">
        <is>
          <t>Quarterly</t>
        </is>
      </c>
      <c r="H258" s="50" t="inlineStr">
        <is>
          <t>No</t>
        </is>
      </c>
      <c r="I258" s="52" t="n">
        <v>0</v>
      </c>
      <c r="J258" s="50" t="inlineStr">
        <is>
          <t>No</t>
        </is>
      </c>
      <c r="K258" s="52" t="n">
        <v>0</v>
      </c>
      <c r="L258" s="52" t="n">
        <v>0</v>
      </c>
      <c r="M258" s="52" t="n">
        <v>5</v>
      </c>
      <c r="N258" s="52">
        <f>F258+I258+K258-L258</f>
        <v>5</v>
      </c>
      <c r="O258" s="50" t="str">
        <f>IF(ABS(M258-N258)&lt;0.001,"OK","REVIEW")</f>
        <v>OK</v>
      </c>
      <c r="P258" s="53">
        <f>DATE(YEAR(D258),MONTH(D258),1)</f>
        <v>45597</v>
      </c>
    </row>
    <row r="259" ht="19" customHeight="1">
      <c r="A259" s="46" t="n">
        <v>3485</v>
      </c>
      <c r="B259" s="46" t="inlineStr">
        <is>
          <t>Quirino Neto</t>
        </is>
      </c>
      <c r="C259" s="46" t="inlineStr">
        <is>
          <t>Ultimate</t>
        </is>
      </c>
      <c r="D259" s="47" t="n">
        <v>45602</v>
      </c>
      <c r="E259" s="46" t="inlineStr">
        <is>
          <t>No</t>
        </is>
      </c>
      <c r="F259" s="48" t="n">
        <v>15</v>
      </c>
      <c r="G259" s="46" t="inlineStr">
        <is>
          <t>Monthly</t>
        </is>
      </c>
      <c r="H259" s="46" t="inlineStr">
        <is>
          <t>Yes</t>
        </is>
      </c>
      <c r="I259" s="48" t="n">
        <v>30</v>
      </c>
      <c r="J259" s="46" t="inlineStr">
        <is>
          <t>Yes</t>
        </is>
      </c>
      <c r="K259" s="48" t="n">
        <v>20</v>
      </c>
      <c r="L259" s="48" t="n">
        <v>15</v>
      </c>
      <c r="M259" s="48" t="n">
        <v>50</v>
      </c>
      <c r="N259" s="48">
        <f>F259+I259+K259-L259</f>
        <v>50</v>
      </c>
      <c r="O259" s="46" t="str">
        <f>IF(ABS(M259-N259)&lt;0.001,"OK","REVIEW")</f>
        <v>OK</v>
      </c>
      <c r="P259" s="49">
        <f>DATE(YEAR(D259),MONTH(D259),1)</f>
        <v>45597</v>
      </c>
    </row>
    <row r="260" ht="19" customHeight="1">
      <c r="A260" s="50" t="n">
        <v>3486</v>
      </c>
      <c r="B260" s="50" t="inlineStr">
        <is>
          <t>Rafaela Souza</t>
        </is>
      </c>
      <c r="C260" s="50" t="inlineStr">
        <is>
          <t>Core</t>
        </is>
      </c>
      <c r="D260" s="51" t="n">
        <v>45603</v>
      </c>
      <c r="E260" s="50" t="inlineStr">
        <is>
          <t>Yes</t>
        </is>
      </c>
      <c r="F260" s="52" t="n">
        <v>5</v>
      </c>
      <c r="G260" s="50" t="inlineStr">
        <is>
          <t>Monthly</t>
        </is>
      </c>
      <c r="H260" s="50" t="inlineStr">
        <is>
          <t>No</t>
        </is>
      </c>
      <c r="I260" s="52" t="n">
        <v>0</v>
      </c>
      <c r="J260" s="50" t="inlineStr">
        <is>
          <t>No</t>
        </is>
      </c>
      <c r="K260" s="52" t="n">
        <v>0</v>
      </c>
      <c r="L260" s="52" t="n">
        <v>0</v>
      </c>
      <c r="M260" s="52" t="n">
        <v>5</v>
      </c>
      <c r="N260" s="52">
        <f>F260+I260+K260-L260</f>
        <v>5</v>
      </c>
      <c r="O260" s="50" t="str">
        <f>IF(ABS(M260-N260)&lt;0.001,"OK","REVIEW")</f>
        <v>OK</v>
      </c>
      <c r="P260" s="53">
        <f>DATE(YEAR(D260),MONTH(D260),1)</f>
        <v>45597</v>
      </c>
    </row>
    <row r="261" ht="19" customHeight="1">
      <c r="A261" s="46" t="n">
        <v>3487</v>
      </c>
      <c r="B261" s="46" t="inlineStr">
        <is>
          <t>Sandro Almeida</t>
        </is>
      </c>
      <c r="C261" s="46" t="inlineStr">
        <is>
          <t>Ultimate</t>
        </is>
      </c>
      <c r="D261" s="47" t="n">
        <v>45604</v>
      </c>
      <c r="E261" s="46" t="inlineStr">
        <is>
          <t>No</t>
        </is>
      </c>
      <c r="F261" s="48" t="n">
        <v>15</v>
      </c>
      <c r="G261" s="46" t="inlineStr">
        <is>
          <t>Quarterly</t>
        </is>
      </c>
      <c r="H261" s="46" t="inlineStr">
        <is>
          <t>Yes</t>
        </is>
      </c>
      <c r="I261" s="48" t="n">
        <v>30</v>
      </c>
      <c r="J261" s="46" t="inlineStr">
        <is>
          <t>Yes</t>
        </is>
      </c>
      <c r="K261" s="48" t="n">
        <v>20</v>
      </c>
      <c r="L261" s="48" t="n">
        <v>7</v>
      </c>
      <c r="M261" s="48" t="n">
        <v>58</v>
      </c>
      <c r="N261" s="48">
        <f>F261+I261+K261-L261</f>
        <v>58</v>
      </c>
      <c r="O261" s="46" t="str">
        <f>IF(ABS(M261-N261)&lt;0.001,"OK","REVIEW")</f>
        <v>OK</v>
      </c>
      <c r="P261" s="49">
        <f>DATE(YEAR(D261),MONTH(D261),1)</f>
        <v>45597</v>
      </c>
    </row>
    <row r="262" ht="19" customHeight="1">
      <c r="A262" s="50" t="n">
        <v>3488</v>
      </c>
      <c r="B262" s="50" t="inlineStr">
        <is>
          <t>Tânia Ribeiro</t>
        </is>
      </c>
      <c r="C262" s="50" t="inlineStr">
        <is>
          <t>Standard</t>
        </is>
      </c>
      <c r="D262" s="51" t="n">
        <v>45605</v>
      </c>
      <c r="E262" s="50" t="inlineStr">
        <is>
          <t>Yes</t>
        </is>
      </c>
      <c r="F262" s="52" t="n">
        <v>10</v>
      </c>
      <c r="G262" s="50" t="inlineStr">
        <is>
          <t>Annual</t>
        </is>
      </c>
      <c r="H262" s="50" t="inlineStr">
        <is>
          <t>No</t>
        </is>
      </c>
      <c r="I262" s="52" t="n">
        <v>0</v>
      </c>
      <c r="J262" s="50" t="inlineStr">
        <is>
          <t>Yes</t>
        </is>
      </c>
      <c r="K262" s="52" t="n">
        <v>20</v>
      </c>
      <c r="L262" s="52" t="n">
        <v>10</v>
      </c>
      <c r="M262" s="52" t="n">
        <v>20</v>
      </c>
      <c r="N262" s="52">
        <f>F262+I262+K262-L262</f>
        <v>20</v>
      </c>
      <c r="O262" s="50" t="str">
        <f>IF(ABS(M262-N262)&lt;0.001,"OK","REVIEW")</f>
        <v>OK</v>
      </c>
      <c r="P262" s="53">
        <f>DATE(YEAR(D262),MONTH(D262),1)</f>
        <v>45597</v>
      </c>
    </row>
    <row r="263" ht="19" customHeight="1">
      <c r="A263" s="46" t="n">
        <v>3489</v>
      </c>
      <c r="B263" s="46" t="inlineStr">
        <is>
          <t>Ugo Dias</t>
        </is>
      </c>
      <c r="C263" s="46" t="inlineStr">
        <is>
          <t>Core</t>
        </is>
      </c>
      <c r="D263" s="47" t="n">
        <v>45606</v>
      </c>
      <c r="E263" s="46" t="inlineStr">
        <is>
          <t>No</t>
        </is>
      </c>
      <c r="F263" s="48" t="n">
        <v>5</v>
      </c>
      <c r="G263" s="46" t="inlineStr">
        <is>
          <t>Quarterly</t>
        </is>
      </c>
      <c r="H263" s="46" t="inlineStr">
        <is>
          <t>No</t>
        </is>
      </c>
      <c r="I263" s="48" t="n">
        <v>0</v>
      </c>
      <c r="J263" s="46" t="inlineStr">
        <is>
          <t>No</t>
        </is>
      </c>
      <c r="K263" s="48" t="n">
        <v>0</v>
      </c>
      <c r="L263" s="48" t="n">
        <v>1</v>
      </c>
      <c r="M263" s="48" t="n">
        <v>4</v>
      </c>
      <c r="N263" s="48">
        <f>F263+I263+K263-L263</f>
        <v>4</v>
      </c>
      <c r="O263" s="46" t="str">
        <f>IF(ABS(M263-N263)&lt;0.001,"OK","REVIEW")</f>
        <v>OK</v>
      </c>
      <c r="P263" s="49">
        <f>DATE(YEAR(D263),MONTH(D263),1)</f>
        <v>45597</v>
      </c>
    </row>
    <row r="264" ht="19" customHeight="1">
      <c r="A264" s="50" t="n">
        <v>3490</v>
      </c>
      <c r="B264" s="50" t="inlineStr">
        <is>
          <t>Valéria Lima</t>
        </is>
      </c>
      <c r="C264" s="50" t="inlineStr">
        <is>
          <t>Ultimate</t>
        </is>
      </c>
      <c r="D264" s="51" t="n">
        <v>45607</v>
      </c>
      <c r="E264" s="50" t="inlineStr">
        <is>
          <t>Yes</t>
        </is>
      </c>
      <c r="F264" s="52" t="n">
        <v>15</v>
      </c>
      <c r="G264" s="50" t="inlineStr">
        <is>
          <t>Monthly</t>
        </is>
      </c>
      <c r="H264" s="50" t="inlineStr">
        <is>
          <t>Yes</t>
        </is>
      </c>
      <c r="I264" s="52" t="n">
        <v>30</v>
      </c>
      <c r="J264" s="50" t="inlineStr">
        <is>
          <t>Yes</t>
        </is>
      </c>
      <c r="K264" s="52" t="n">
        <v>20</v>
      </c>
      <c r="L264" s="52" t="n">
        <v>15</v>
      </c>
      <c r="M264" s="52" t="n">
        <v>50</v>
      </c>
      <c r="N264" s="52">
        <f>F264+I264+K264-L264</f>
        <v>50</v>
      </c>
      <c r="O264" s="50" t="str">
        <f>IF(ABS(M264-N264)&lt;0.001,"OK","REVIEW")</f>
        <v>OK</v>
      </c>
      <c r="P264" s="53">
        <f>DATE(YEAR(D264),MONTH(D264),1)</f>
        <v>45597</v>
      </c>
    </row>
    <row r="265" ht="19" customHeight="1">
      <c r="A265" s="46" t="n">
        <v>3491</v>
      </c>
      <c r="B265" s="46" t="inlineStr">
        <is>
          <t>William Fernandes</t>
        </is>
      </c>
      <c r="C265" s="46" t="inlineStr">
        <is>
          <t>Standard</t>
        </is>
      </c>
      <c r="D265" s="47" t="n">
        <v>45608</v>
      </c>
      <c r="E265" s="46" t="inlineStr">
        <is>
          <t>No</t>
        </is>
      </c>
      <c r="F265" s="48" t="n">
        <v>10</v>
      </c>
      <c r="G265" s="46" t="inlineStr">
        <is>
          <t>Monthly</t>
        </is>
      </c>
      <c r="H265" s="46" t="inlineStr">
        <is>
          <t>No</t>
        </is>
      </c>
      <c r="I265" s="48" t="n">
        <v>0</v>
      </c>
      <c r="J265" s="46" t="inlineStr">
        <is>
          <t>Yes</t>
        </is>
      </c>
      <c r="K265" s="48" t="n">
        <v>20</v>
      </c>
      <c r="L265" s="48" t="n">
        <v>5</v>
      </c>
      <c r="M265" s="48" t="n">
        <v>25</v>
      </c>
      <c r="N265" s="48">
        <f>F265+I265+K265-L265</f>
        <v>25</v>
      </c>
      <c r="O265" s="46" t="str">
        <f>IF(ABS(M265-N265)&lt;0.001,"OK","REVIEW")</f>
        <v>OK</v>
      </c>
      <c r="P265" s="49">
        <f>DATE(YEAR(D265),MONTH(D265),1)</f>
        <v>45597</v>
      </c>
    </row>
    <row r="266" ht="19" customHeight="1">
      <c r="A266" s="50" t="n">
        <v>3492</v>
      </c>
      <c r="B266" s="50" t="inlineStr">
        <is>
          <t>Xuxa Mendes</t>
        </is>
      </c>
      <c r="C266" s="50" t="inlineStr">
        <is>
          <t>Core</t>
        </is>
      </c>
      <c r="D266" s="51" t="n">
        <v>45609</v>
      </c>
      <c r="E266" s="50" t="inlineStr">
        <is>
          <t>Yes</t>
        </is>
      </c>
      <c r="F266" s="52" t="n">
        <v>5</v>
      </c>
      <c r="G266" s="50" t="inlineStr">
        <is>
          <t>Annual</t>
        </is>
      </c>
      <c r="H266" s="50" t="inlineStr">
        <is>
          <t>No</t>
        </is>
      </c>
      <c r="I266" s="52" t="n">
        <v>0</v>
      </c>
      <c r="J266" s="50" t="inlineStr">
        <is>
          <t>No</t>
        </is>
      </c>
      <c r="K266" s="52" t="n">
        <v>0</v>
      </c>
      <c r="L266" s="52" t="n">
        <v>0</v>
      </c>
      <c r="M266" s="52" t="n">
        <v>5</v>
      </c>
      <c r="N266" s="52">
        <f>F266+I266+K266-L266</f>
        <v>5</v>
      </c>
      <c r="O266" s="50" t="str">
        <f>IF(ABS(M266-N266)&lt;0.001,"OK","REVIEW")</f>
        <v>OK</v>
      </c>
      <c r="P266" s="53">
        <f>DATE(YEAR(D266),MONTH(D266),1)</f>
        <v>45597</v>
      </c>
    </row>
    <row r="267" ht="19" customHeight="1">
      <c r="A267" s="46" t="n">
        <v>3493</v>
      </c>
      <c r="B267" s="46" t="inlineStr">
        <is>
          <t>Ygor Farias</t>
        </is>
      </c>
      <c r="C267" s="46" t="inlineStr">
        <is>
          <t>Ultimate</t>
        </is>
      </c>
      <c r="D267" s="47" t="n">
        <v>45610</v>
      </c>
      <c r="E267" s="46" t="inlineStr">
        <is>
          <t>No</t>
        </is>
      </c>
      <c r="F267" s="48" t="n">
        <v>15</v>
      </c>
      <c r="G267" s="46" t="inlineStr">
        <is>
          <t>Quarterly</t>
        </is>
      </c>
      <c r="H267" s="46" t="inlineStr">
        <is>
          <t>Yes</t>
        </is>
      </c>
      <c r="I267" s="48" t="n">
        <v>30</v>
      </c>
      <c r="J267" s="46" t="inlineStr">
        <is>
          <t>Yes</t>
        </is>
      </c>
      <c r="K267" s="48" t="n">
        <v>20</v>
      </c>
      <c r="L267" s="48" t="n">
        <v>20</v>
      </c>
      <c r="M267" s="48" t="n">
        <v>45</v>
      </c>
      <c r="N267" s="48">
        <f>F267+I267+K267-L267</f>
        <v>45</v>
      </c>
      <c r="O267" s="46" t="str">
        <f>IF(ABS(M267-N267)&lt;0.001,"OK","REVIEW")</f>
        <v>OK</v>
      </c>
      <c r="P267" s="49">
        <f>DATE(YEAR(D267),MONTH(D267),1)</f>
        <v>45597</v>
      </c>
    </row>
    <row r="268" ht="19" customHeight="1">
      <c r="A268" s="50" t="n">
        <v>3494</v>
      </c>
      <c r="B268" s="50" t="inlineStr">
        <is>
          <t>Zilda Barros</t>
        </is>
      </c>
      <c r="C268" s="50" t="inlineStr">
        <is>
          <t>Standard</t>
        </is>
      </c>
      <c r="D268" s="51" t="n">
        <v>45611</v>
      </c>
      <c r="E268" s="50" t="inlineStr">
        <is>
          <t>Yes</t>
        </is>
      </c>
      <c r="F268" s="52" t="n">
        <v>10</v>
      </c>
      <c r="G268" s="50" t="inlineStr">
        <is>
          <t>Quarterly</t>
        </is>
      </c>
      <c r="H268" s="50" t="inlineStr">
        <is>
          <t>No</t>
        </is>
      </c>
      <c r="I268" s="52" t="n">
        <v>0</v>
      </c>
      <c r="J268" s="50" t="inlineStr">
        <is>
          <t>Yes</t>
        </is>
      </c>
      <c r="K268" s="52" t="n">
        <v>20</v>
      </c>
      <c r="L268" s="52" t="n">
        <v>12</v>
      </c>
      <c r="M268" s="52" t="n">
        <v>18</v>
      </c>
      <c r="N268" s="52">
        <f>F268+I268+K268-L268</f>
        <v>18</v>
      </c>
      <c r="O268" s="50" t="str">
        <f>IF(ABS(M268-N268)&lt;0.001,"OK","REVIEW")</f>
        <v>OK</v>
      </c>
      <c r="P268" s="53">
        <f>DATE(YEAR(D268),MONTH(D268),1)</f>
        <v>45597</v>
      </c>
    </row>
    <row r="269" ht="19" customHeight="1">
      <c r="A269" s="46" t="n">
        <v>3495</v>
      </c>
      <c r="B269" s="46" t="inlineStr">
        <is>
          <t>Amanda Santos</t>
        </is>
      </c>
      <c r="C269" s="46" t="inlineStr">
        <is>
          <t>Core</t>
        </is>
      </c>
      <c r="D269" s="47" t="n">
        <v>45612</v>
      </c>
      <c r="E269" s="46" t="inlineStr">
        <is>
          <t>No</t>
        </is>
      </c>
      <c r="F269" s="48" t="n">
        <v>5</v>
      </c>
      <c r="G269" s="46" t="inlineStr">
        <is>
          <t>Monthly</t>
        </is>
      </c>
      <c r="H269" s="46" t="inlineStr">
        <is>
          <t>No</t>
        </is>
      </c>
      <c r="I269" s="48" t="n">
        <v>0</v>
      </c>
      <c r="J269" s="46" t="inlineStr">
        <is>
          <t>No</t>
        </is>
      </c>
      <c r="K269" s="48" t="n">
        <v>0</v>
      </c>
      <c r="L269" s="48" t="n">
        <v>2</v>
      </c>
      <c r="M269" s="48" t="n">
        <v>3</v>
      </c>
      <c r="N269" s="48">
        <f>F269+I269+K269-L269</f>
        <v>3</v>
      </c>
      <c r="O269" s="46" t="str">
        <f>IF(ABS(M269-N269)&lt;0.001,"OK","REVIEW")</f>
        <v>OK</v>
      </c>
      <c r="P269" s="49">
        <f>DATE(YEAR(D269),MONTH(D269),1)</f>
        <v>45597</v>
      </c>
    </row>
    <row r="270" ht="19" customHeight="1">
      <c r="A270" s="50" t="n">
        <v>3496</v>
      </c>
      <c r="B270" s="50" t="inlineStr">
        <is>
          <t>Bruno Costa</t>
        </is>
      </c>
      <c r="C270" s="50" t="inlineStr">
        <is>
          <t>Ultimate</t>
        </is>
      </c>
      <c r="D270" s="51" t="n">
        <v>45613</v>
      </c>
      <c r="E270" s="50" t="inlineStr">
        <is>
          <t>Yes</t>
        </is>
      </c>
      <c r="F270" s="52" t="n">
        <v>15</v>
      </c>
      <c r="G270" s="50" t="inlineStr">
        <is>
          <t>Annual</t>
        </is>
      </c>
      <c r="H270" s="50" t="inlineStr">
        <is>
          <t>Yes</t>
        </is>
      </c>
      <c r="I270" s="52" t="n">
        <v>30</v>
      </c>
      <c r="J270" s="50" t="inlineStr">
        <is>
          <t>Yes</t>
        </is>
      </c>
      <c r="K270" s="52" t="n">
        <v>20</v>
      </c>
      <c r="L270" s="52" t="n">
        <v>5</v>
      </c>
      <c r="M270" s="52" t="n">
        <v>60</v>
      </c>
      <c r="N270" s="52">
        <f>F270+I270+K270-L270</f>
        <v>60</v>
      </c>
      <c r="O270" s="50" t="str">
        <f>IF(ABS(M270-N270)&lt;0.001,"OK","REVIEW")</f>
        <v>OK</v>
      </c>
      <c r="P270" s="53">
        <f>DATE(YEAR(D270),MONTH(D270),1)</f>
        <v>45597</v>
      </c>
    </row>
    <row r="271" ht="19" customHeight="1">
      <c r="A271" s="46" t="n">
        <v>3497</v>
      </c>
      <c r="B271" s="46" t="inlineStr">
        <is>
          <t>Carla Rodrigues</t>
        </is>
      </c>
      <c r="C271" s="46" t="inlineStr">
        <is>
          <t>Standard</t>
        </is>
      </c>
      <c r="D271" s="47" t="n">
        <v>45614</v>
      </c>
      <c r="E271" s="46" t="inlineStr">
        <is>
          <t>No</t>
        </is>
      </c>
      <c r="F271" s="48" t="n">
        <v>10</v>
      </c>
      <c r="G271" s="46" t="inlineStr">
        <is>
          <t>Monthly</t>
        </is>
      </c>
      <c r="H271" s="46" t="inlineStr">
        <is>
          <t>No</t>
        </is>
      </c>
      <c r="I271" s="48" t="n">
        <v>0</v>
      </c>
      <c r="J271" s="46" t="inlineStr">
        <is>
          <t>Yes</t>
        </is>
      </c>
      <c r="K271" s="48" t="n">
        <v>20</v>
      </c>
      <c r="L271" s="48" t="n">
        <v>10</v>
      </c>
      <c r="M271" s="48" t="n">
        <v>20</v>
      </c>
      <c r="N271" s="48">
        <f>F271+I271+K271-L271</f>
        <v>20</v>
      </c>
      <c r="O271" s="46" t="str">
        <f>IF(ABS(M271-N271)&lt;0.001,"OK","REVIEW")</f>
        <v>OK</v>
      </c>
      <c r="P271" s="49">
        <f>DATE(YEAR(D271),MONTH(D271),1)</f>
        <v>45597</v>
      </c>
    </row>
    <row r="272" ht="19" customHeight="1">
      <c r="A272" s="50" t="n">
        <v>3498</v>
      </c>
      <c r="B272" s="50" t="inlineStr">
        <is>
          <t>Diogo Pereira</t>
        </is>
      </c>
      <c r="C272" s="50" t="inlineStr">
        <is>
          <t>Core</t>
        </is>
      </c>
      <c r="D272" s="51" t="n">
        <v>45615</v>
      </c>
      <c r="E272" s="50" t="inlineStr">
        <is>
          <t>Yes</t>
        </is>
      </c>
      <c r="F272" s="52" t="n">
        <v>5</v>
      </c>
      <c r="G272" s="50" t="inlineStr">
        <is>
          <t>Quarterly</t>
        </is>
      </c>
      <c r="H272" s="50" t="inlineStr">
        <is>
          <t>No</t>
        </is>
      </c>
      <c r="I272" s="52" t="n">
        <v>0</v>
      </c>
      <c r="J272" s="50" t="inlineStr">
        <is>
          <t>No</t>
        </is>
      </c>
      <c r="K272" s="52" t="n">
        <v>0</v>
      </c>
      <c r="L272" s="52" t="n">
        <v>0</v>
      </c>
      <c r="M272" s="52" t="n">
        <v>5</v>
      </c>
      <c r="N272" s="52">
        <f>F272+I272+K272-L272</f>
        <v>5</v>
      </c>
      <c r="O272" s="50" t="str">
        <f>IF(ABS(M272-N272)&lt;0.001,"OK","REVIEW")</f>
        <v>OK</v>
      </c>
      <c r="P272" s="53">
        <f>DATE(YEAR(D272),MONTH(D272),1)</f>
        <v>45597</v>
      </c>
    </row>
    <row r="273" ht="19" customHeight="1">
      <c r="A273" s="46" t="n">
        <v>3499</v>
      </c>
      <c r="B273" s="46" t="inlineStr">
        <is>
          <t>Elisa Correia</t>
        </is>
      </c>
      <c r="C273" s="46" t="inlineStr">
        <is>
          <t>Ultimate</t>
        </is>
      </c>
      <c r="D273" s="47" t="n">
        <v>45616</v>
      </c>
      <c r="E273" s="46" t="inlineStr">
        <is>
          <t>No</t>
        </is>
      </c>
      <c r="F273" s="48" t="n">
        <v>15</v>
      </c>
      <c r="G273" s="46" t="inlineStr">
        <is>
          <t>Monthly</t>
        </is>
      </c>
      <c r="H273" s="46" t="inlineStr">
        <is>
          <t>Yes</t>
        </is>
      </c>
      <c r="I273" s="48" t="n">
        <v>30</v>
      </c>
      <c r="J273" s="46" t="inlineStr">
        <is>
          <t>Yes</t>
        </is>
      </c>
      <c r="K273" s="48" t="n">
        <v>20</v>
      </c>
      <c r="L273" s="48" t="n">
        <v>3</v>
      </c>
      <c r="M273" s="48" t="n">
        <v>62</v>
      </c>
      <c r="N273" s="48">
        <f>F273+I273+K273-L273</f>
        <v>62</v>
      </c>
      <c r="O273" s="46" t="str">
        <f>IF(ABS(M273-N273)&lt;0.001,"OK","REVIEW")</f>
        <v>OK</v>
      </c>
      <c r="P273" s="49">
        <f>DATE(YEAR(D273),MONTH(D273),1)</f>
        <v>45597</v>
      </c>
    </row>
    <row r="274" ht="19" customHeight="1">
      <c r="A274" s="50" t="n">
        <v>3500</v>
      </c>
      <c r="B274" s="50" t="inlineStr">
        <is>
          <t>Fábio Lourenço</t>
        </is>
      </c>
      <c r="C274" s="50" t="inlineStr">
        <is>
          <t>Standard</t>
        </is>
      </c>
      <c r="D274" s="51" t="n">
        <v>45617</v>
      </c>
      <c r="E274" s="50" t="inlineStr">
        <is>
          <t>Yes</t>
        </is>
      </c>
      <c r="F274" s="52" t="n">
        <v>10</v>
      </c>
      <c r="G274" s="50" t="inlineStr">
        <is>
          <t>Annual</t>
        </is>
      </c>
      <c r="H274" s="50" t="inlineStr">
        <is>
          <t>No</t>
        </is>
      </c>
      <c r="I274" s="52" t="n">
        <v>0</v>
      </c>
      <c r="J274" s="50" t="inlineStr">
        <is>
          <t>Yes</t>
        </is>
      </c>
      <c r="K274" s="52" t="n">
        <v>20</v>
      </c>
      <c r="L274" s="52" t="n">
        <v>15</v>
      </c>
      <c r="M274" s="52" t="n">
        <v>15</v>
      </c>
      <c r="N274" s="52">
        <f>F274+I274+K274-L274</f>
        <v>15</v>
      </c>
      <c r="O274" s="50" t="str">
        <f>IF(ABS(M274-N274)&lt;0.001,"OK","REVIEW")</f>
        <v>OK</v>
      </c>
      <c r="P274" s="53">
        <f>DATE(YEAR(D274),MONTH(D274),1)</f>
        <v>45597</v>
      </c>
    </row>
    <row r="275" ht="19" customHeight="1">
      <c r="A275" s="46" t="n">
        <v>3501</v>
      </c>
      <c r="B275" s="46" t="inlineStr">
        <is>
          <t>Gabriela Neves</t>
        </is>
      </c>
      <c r="C275" s="46" t="inlineStr">
        <is>
          <t>Core</t>
        </is>
      </c>
      <c r="D275" s="47" t="n">
        <v>45618</v>
      </c>
      <c r="E275" s="46" t="inlineStr">
        <is>
          <t>No</t>
        </is>
      </c>
      <c r="F275" s="48" t="n">
        <v>5</v>
      </c>
      <c r="G275" s="46" t="inlineStr">
        <is>
          <t>Monthly</t>
        </is>
      </c>
      <c r="H275" s="46" t="inlineStr">
        <is>
          <t>No</t>
        </is>
      </c>
      <c r="I275" s="48" t="n">
        <v>0</v>
      </c>
      <c r="J275" s="46" t="inlineStr">
        <is>
          <t>No</t>
        </is>
      </c>
      <c r="K275" s="48" t="n">
        <v>0</v>
      </c>
      <c r="L275" s="48" t="n">
        <v>1</v>
      </c>
      <c r="M275" s="48" t="n">
        <v>4</v>
      </c>
      <c r="N275" s="48">
        <f>F275+I275+K275-L275</f>
        <v>4</v>
      </c>
      <c r="O275" s="46" t="str">
        <f>IF(ABS(M275-N275)&lt;0.001,"OK","REVIEW")</f>
        <v>OK</v>
      </c>
      <c r="P275" s="49">
        <f>DATE(YEAR(D275),MONTH(D275),1)</f>
        <v>45597</v>
      </c>
    </row>
    <row r="276" ht="19" customHeight="1">
      <c r="A276" s="50" t="n">
        <v>3502</v>
      </c>
      <c r="B276" s="50" t="inlineStr">
        <is>
          <t>Henrique Gonçalves</t>
        </is>
      </c>
      <c r="C276" s="50" t="inlineStr">
        <is>
          <t>Ultimate</t>
        </is>
      </c>
      <c r="D276" s="51" t="n">
        <v>45619</v>
      </c>
      <c r="E276" s="50" t="inlineStr">
        <is>
          <t>Yes</t>
        </is>
      </c>
      <c r="F276" s="52" t="n">
        <v>15</v>
      </c>
      <c r="G276" s="50" t="inlineStr">
        <is>
          <t>Quarterly</t>
        </is>
      </c>
      <c r="H276" s="50" t="inlineStr">
        <is>
          <t>Yes</t>
        </is>
      </c>
      <c r="I276" s="52" t="n">
        <v>30</v>
      </c>
      <c r="J276" s="50" t="inlineStr">
        <is>
          <t>Yes</t>
        </is>
      </c>
      <c r="K276" s="52" t="n">
        <v>20</v>
      </c>
      <c r="L276" s="52" t="n">
        <v>7</v>
      </c>
      <c r="M276" s="52" t="n">
        <v>58</v>
      </c>
      <c r="N276" s="52">
        <f>F276+I276+K276-L276</f>
        <v>58</v>
      </c>
      <c r="O276" s="50" t="str">
        <f>IF(ABS(M276-N276)&lt;0.001,"OK","REVIEW")</f>
        <v>OK</v>
      </c>
      <c r="P276" s="53">
        <f>DATE(YEAR(D276),MONTH(D276),1)</f>
        <v>45597</v>
      </c>
    </row>
    <row r="277" ht="19" customHeight="1">
      <c r="A277" s="46" t="n">
        <v>3503</v>
      </c>
      <c r="B277" s="46" t="inlineStr">
        <is>
          <t>Íris Santos</t>
        </is>
      </c>
      <c r="C277" s="46" t="inlineStr">
        <is>
          <t>Standard</t>
        </is>
      </c>
      <c r="D277" s="47" t="n">
        <v>45620</v>
      </c>
      <c r="E277" s="46" t="inlineStr">
        <is>
          <t>No</t>
        </is>
      </c>
      <c r="F277" s="48" t="n">
        <v>10</v>
      </c>
      <c r="G277" s="46" t="inlineStr">
        <is>
          <t>Monthly</t>
        </is>
      </c>
      <c r="H277" s="46" t="inlineStr">
        <is>
          <t>No</t>
        </is>
      </c>
      <c r="I277" s="48" t="n">
        <v>0</v>
      </c>
      <c r="J277" s="46" t="inlineStr">
        <is>
          <t>Yes</t>
        </is>
      </c>
      <c r="K277" s="48" t="n">
        <v>20</v>
      </c>
      <c r="L277" s="48" t="n">
        <v>10</v>
      </c>
      <c r="M277" s="48" t="n">
        <v>20</v>
      </c>
      <c r="N277" s="48">
        <f>F277+I277+K277-L277</f>
        <v>20</v>
      </c>
      <c r="O277" s="46" t="str">
        <f>IF(ABS(M277-N277)&lt;0.001,"OK","REVIEW")</f>
        <v>OK</v>
      </c>
      <c r="P277" s="49">
        <f>DATE(YEAR(D277),MONTH(D277),1)</f>
        <v>45597</v>
      </c>
    </row>
    <row r="278" ht="19" customHeight="1">
      <c r="A278" s="50" t="n">
        <v>3504</v>
      </c>
      <c r="B278" s="50" t="inlineStr">
        <is>
          <t>João Marcelo Alves</t>
        </is>
      </c>
      <c r="C278" s="50" t="inlineStr">
        <is>
          <t>Core</t>
        </is>
      </c>
      <c r="D278" s="51" t="n">
        <v>45621</v>
      </c>
      <c r="E278" s="50" t="inlineStr">
        <is>
          <t>Yes</t>
        </is>
      </c>
      <c r="F278" s="52" t="n">
        <v>5</v>
      </c>
      <c r="G278" s="50" t="inlineStr">
        <is>
          <t>Annual</t>
        </is>
      </c>
      <c r="H278" s="50" t="inlineStr">
        <is>
          <t>No</t>
        </is>
      </c>
      <c r="I278" s="52" t="n">
        <v>0</v>
      </c>
      <c r="J278" s="50" t="inlineStr">
        <is>
          <t>No</t>
        </is>
      </c>
      <c r="K278" s="52" t="n">
        <v>0</v>
      </c>
      <c r="L278" s="52" t="n">
        <v>0</v>
      </c>
      <c r="M278" s="52" t="n">
        <v>5</v>
      </c>
      <c r="N278" s="52">
        <f>F278+I278+K278-L278</f>
        <v>5</v>
      </c>
      <c r="O278" s="50" t="str">
        <f>IF(ABS(M278-N278)&lt;0.001,"OK","REVIEW")</f>
        <v>OK</v>
      </c>
      <c r="P278" s="53">
        <f>DATE(YEAR(D278),MONTH(D278),1)</f>
        <v>45597</v>
      </c>
    </row>
    <row r="279" ht="19" customHeight="1">
      <c r="A279" s="46" t="n">
        <v>3505</v>
      </c>
      <c r="B279" s="46" t="inlineStr">
        <is>
          <t>Klara Fonseca</t>
        </is>
      </c>
      <c r="C279" s="46" t="inlineStr">
        <is>
          <t>Ultimate</t>
        </is>
      </c>
      <c r="D279" s="47" t="n">
        <v>45622</v>
      </c>
      <c r="E279" s="46" t="inlineStr">
        <is>
          <t>No</t>
        </is>
      </c>
      <c r="F279" s="48" t="n">
        <v>15</v>
      </c>
      <c r="G279" s="46" t="inlineStr">
        <is>
          <t>Monthly</t>
        </is>
      </c>
      <c r="H279" s="46" t="inlineStr">
        <is>
          <t>Yes</t>
        </is>
      </c>
      <c r="I279" s="48" t="n">
        <v>30</v>
      </c>
      <c r="J279" s="46" t="inlineStr">
        <is>
          <t>Yes</t>
        </is>
      </c>
      <c r="K279" s="48" t="n">
        <v>20</v>
      </c>
      <c r="L279" s="48" t="n">
        <v>20</v>
      </c>
      <c r="M279" s="48" t="n">
        <v>45</v>
      </c>
      <c r="N279" s="48">
        <f>F279+I279+K279-L279</f>
        <v>45</v>
      </c>
      <c r="O279" s="46" t="str">
        <f>IF(ABS(M279-N279)&lt;0.001,"OK","REVIEW")</f>
        <v>OK</v>
      </c>
      <c r="P279" s="49">
        <f>DATE(YEAR(D279),MONTH(D279),1)</f>
        <v>45597</v>
      </c>
    </row>
    <row r="280" ht="19" customHeight="1">
      <c r="A280" s="50" t="n">
        <v>3506</v>
      </c>
      <c r="B280" s="50" t="inlineStr">
        <is>
          <t>Lucas Mendonça</t>
        </is>
      </c>
      <c r="C280" s="50" t="inlineStr">
        <is>
          <t>Standard</t>
        </is>
      </c>
      <c r="D280" s="51" t="n">
        <v>45623</v>
      </c>
      <c r="E280" s="50" t="inlineStr">
        <is>
          <t>Yes</t>
        </is>
      </c>
      <c r="F280" s="52" t="n">
        <v>10</v>
      </c>
      <c r="G280" s="50" t="inlineStr">
        <is>
          <t>Quarterly</t>
        </is>
      </c>
      <c r="H280" s="50" t="inlineStr">
        <is>
          <t>No</t>
        </is>
      </c>
      <c r="I280" s="52" t="n">
        <v>0</v>
      </c>
      <c r="J280" s="50" t="inlineStr">
        <is>
          <t>Yes</t>
        </is>
      </c>
      <c r="K280" s="52" t="n">
        <v>20</v>
      </c>
      <c r="L280" s="52" t="n">
        <v>15</v>
      </c>
      <c r="M280" s="52" t="n">
        <v>15</v>
      </c>
      <c r="N280" s="52">
        <f>F280+I280+K280-L280</f>
        <v>15</v>
      </c>
      <c r="O280" s="50" t="str">
        <f>IF(ABS(M280-N280)&lt;0.001,"OK","REVIEW")</f>
        <v>OK</v>
      </c>
      <c r="P280" s="53">
        <f>DATE(YEAR(D280),MONTH(D280),1)</f>
        <v>45597</v>
      </c>
    </row>
    <row r="281" ht="19" customHeight="1">
      <c r="A281" s="46" t="n">
        <v>3507</v>
      </c>
      <c r="B281" s="46" t="inlineStr">
        <is>
          <t>Marcela Torres</t>
        </is>
      </c>
      <c r="C281" s="46" t="inlineStr">
        <is>
          <t>Core</t>
        </is>
      </c>
      <c r="D281" s="47" t="n">
        <v>45624</v>
      </c>
      <c r="E281" s="46" t="inlineStr">
        <is>
          <t>No</t>
        </is>
      </c>
      <c r="F281" s="48" t="n">
        <v>5</v>
      </c>
      <c r="G281" s="46" t="inlineStr">
        <is>
          <t>Monthly</t>
        </is>
      </c>
      <c r="H281" s="46" t="inlineStr">
        <is>
          <t>No</t>
        </is>
      </c>
      <c r="I281" s="48" t="n">
        <v>0</v>
      </c>
      <c r="J281" s="46" t="inlineStr">
        <is>
          <t>No</t>
        </is>
      </c>
      <c r="K281" s="48" t="n">
        <v>0</v>
      </c>
      <c r="L281" s="48" t="n">
        <v>1</v>
      </c>
      <c r="M281" s="48" t="n">
        <v>4</v>
      </c>
      <c r="N281" s="48">
        <f>F281+I281+K281-L281</f>
        <v>4</v>
      </c>
      <c r="O281" s="46" t="str">
        <f>IF(ABS(M281-N281)&lt;0.001,"OK","REVIEW")</f>
        <v>OK</v>
      </c>
      <c r="P281" s="49">
        <f>DATE(YEAR(D281),MONTH(D281),1)</f>
        <v>45597</v>
      </c>
    </row>
    <row r="282" ht="19" customHeight="1">
      <c r="A282" s="50" t="n">
        <v>3508</v>
      </c>
      <c r="B282" s="50" t="inlineStr">
        <is>
          <t>Natália Castro</t>
        </is>
      </c>
      <c r="C282" s="50" t="inlineStr">
        <is>
          <t>Ultimate</t>
        </is>
      </c>
      <c r="D282" s="51" t="n">
        <v>45625</v>
      </c>
      <c r="E282" s="50" t="inlineStr">
        <is>
          <t>Yes</t>
        </is>
      </c>
      <c r="F282" s="52" t="n">
        <v>15</v>
      </c>
      <c r="G282" s="50" t="inlineStr">
        <is>
          <t>Annual</t>
        </is>
      </c>
      <c r="H282" s="50" t="inlineStr">
        <is>
          <t>Yes</t>
        </is>
      </c>
      <c r="I282" s="52" t="n">
        <v>30</v>
      </c>
      <c r="J282" s="50" t="inlineStr">
        <is>
          <t>Yes</t>
        </is>
      </c>
      <c r="K282" s="52" t="n">
        <v>20</v>
      </c>
      <c r="L282" s="52" t="n">
        <v>3</v>
      </c>
      <c r="M282" s="52" t="n">
        <v>62</v>
      </c>
      <c r="N282" s="52">
        <f>F282+I282+K282-L282</f>
        <v>62</v>
      </c>
      <c r="O282" s="50" t="str">
        <f>IF(ABS(M282-N282)&lt;0.001,"OK","REVIEW")</f>
        <v>OK</v>
      </c>
      <c r="P282" s="53">
        <f>DATE(YEAR(D282),MONTH(D282),1)</f>
        <v>45597</v>
      </c>
    </row>
    <row r="283" ht="19" customHeight="1">
      <c r="A283" s="46" t="n">
        <v>3509</v>
      </c>
      <c r="B283" s="46" t="inlineStr">
        <is>
          <t>Oscar Martins</t>
        </is>
      </c>
      <c r="C283" s="46" t="inlineStr">
        <is>
          <t>Standard</t>
        </is>
      </c>
      <c r="D283" s="47" t="n">
        <v>45626</v>
      </c>
      <c r="E283" s="46" t="inlineStr">
        <is>
          <t>No</t>
        </is>
      </c>
      <c r="F283" s="48" t="n">
        <v>10</v>
      </c>
      <c r="G283" s="46" t="inlineStr">
        <is>
          <t>Monthly</t>
        </is>
      </c>
      <c r="H283" s="46" t="inlineStr">
        <is>
          <t>No</t>
        </is>
      </c>
      <c r="I283" s="48" t="n">
        <v>0</v>
      </c>
      <c r="J283" s="46" t="inlineStr">
        <is>
          <t>Yes</t>
        </is>
      </c>
      <c r="K283" s="48" t="n">
        <v>20</v>
      </c>
      <c r="L283" s="48" t="n">
        <v>10</v>
      </c>
      <c r="M283" s="48" t="n">
        <v>20</v>
      </c>
      <c r="N283" s="48">
        <f>F283+I283+K283-L283</f>
        <v>20</v>
      </c>
      <c r="O283" s="46" t="str">
        <f>IF(ABS(M283-N283)&lt;0.001,"OK","REVIEW")</f>
        <v>OK</v>
      </c>
      <c r="P283" s="49">
        <f>DATE(YEAR(D283),MONTH(D283),1)</f>
        <v>45597</v>
      </c>
    </row>
    <row r="284" ht="19" customHeight="1">
      <c r="A284" s="50" t="n">
        <v>3510</v>
      </c>
      <c r="B284" s="50" t="inlineStr">
        <is>
          <t>Patrícia Oliveira</t>
        </is>
      </c>
      <c r="C284" s="50" t="inlineStr">
        <is>
          <t>Core</t>
        </is>
      </c>
      <c r="D284" s="51" t="n">
        <v>45627</v>
      </c>
      <c r="E284" s="50" t="inlineStr">
        <is>
          <t>Yes</t>
        </is>
      </c>
      <c r="F284" s="52" t="n">
        <v>5</v>
      </c>
      <c r="G284" s="50" t="inlineStr">
        <is>
          <t>Quarterly</t>
        </is>
      </c>
      <c r="H284" s="50" t="inlineStr">
        <is>
          <t>No</t>
        </is>
      </c>
      <c r="I284" s="52" t="n">
        <v>0</v>
      </c>
      <c r="J284" s="50" t="inlineStr">
        <is>
          <t>No</t>
        </is>
      </c>
      <c r="K284" s="52" t="n">
        <v>0</v>
      </c>
      <c r="L284" s="52" t="n">
        <v>0</v>
      </c>
      <c r="M284" s="52" t="n">
        <v>5</v>
      </c>
      <c r="N284" s="52">
        <f>F284+I284+K284-L284</f>
        <v>5</v>
      </c>
      <c r="O284" s="50" t="str">
        <f>IF(ABS(M284-N284)&lt;0.001,"OK","REVIEW")</f>
        <v>OK</v>
      </c>
      <c r="P284" s="53">
        <f>DATE(YEAR(D284),MONTH(D284),1)</f>
        <v>45627</v>
      </c>
    </row>
    <row r="285" ht="19" customHeight="1">
      <c r="A285" s="46" t="n">
        <v>3511</v>
      </c>
      <c r="B285" s="46" t="inlineStr">
        <is>
          <t>Quentin Nogueira</t>
        </is>
      </c>
      <c r="C285" s="46" t="inlineStr">
        <is>
          <t>Ultimate</t>
        </is>
      </c>
      <c r="D285" s="47" t="n">
        <v>45628</v>
      </c>
      <c r="E285" s="46" t="inlineStr">
        <is>
          <t>No</t>
        </is>
      </c>
      <c r="F285" s="48" t="n">
        <v>15</v>
      </c>
      <c r="G285" s="46" t="inlineStr">
        <is>
          <t>Monthly</t>
        </is>
      </c>
      <c r="H285" s="46" t="inlineStr">
        <is>
          <t>Yes</t>
        </is>
      </c>
      <c r="I285" s="48" t="n">
        <v>30</v>
      </c>
      <c r="J285" s="46" t="inlineStr">
        <is>
          <t>Yes</t>
        </is>
      </c>
      <c r="K285" s="48" t="n">
        <v>20</v>
      </c>
      <c r="L285" s="48" t="n">
        <v>15</v>
      </c>
      <c r="M285" s="48" t="n">
        <v>50</v>
      </c>
      <c r="N285" s="48">
        <f>F285+I285+K285-L285</f>
        <v>50</v>
      </c>
      <c r="O285" s="46" t="str">
        <f>IF(ABS(M285-N285)&lt;0.001,"OK","REVIEW")</f>
        <v>OK</v>
      </c>
      <c r="P285" s="49">
        <f>DATE(YEAR(D285),MONTH(D285),1)</f>
        <v>45627</v>
      </c>
    </row>
    <row r="286" ht="19" customHeight="1">
      <c r="A286" s="50" t="n">
        <v>3512</v>
      </c>
      <c r="B286" s="50" t="inlineStr">
        <is>
          <t>Raquel Silva</t>
        </is>
      </c>
      <c r="C286" s="50" t="inlineStr">
        <is>
          <t>Standard</t>
        </is>
      </c>
      <c r="D286" s="51" t="n">
        <v>45629</v>
      </c>
      <c r="E286" s="50" t="inlineStr">
        <is>
          <t>Yes</t>
        </is>
      </c>
      <c r="F286" s="52" t="n">
        <v>10</v>
      </c>
      <c r="G286" s="50" t="inlineStr">
        <is>
          <t>Annual</t>
        </is>
      </c>
      <c r="H286" s="50" t="inlineStr">
        <is>
          <t>No</t>
        </is>
      </c>
      <c r="I286" s="52" t="n">
        <v>0</v>
      </c>
      <c r="J286" s="50" t="inlineStr">
        <is>
          <t>Yes</t>
        </is>
      </c>
      <c r="K286" s="52" t="n">
        <v>20</v>
      </c>
      <c r="L286" s="52" t="n">
        <v>15</v>
      </c>
      <c r="M286" s="52" t="n">
        <v>15</v>
      </c>
      <c r="N286" s="52">
        <f>F286+I286+K286-L286</f>
        <v>15</v>
      </c>
      <c r="O286" s="50" t="str">
        <f>IF(ABS(M286-N286)&lt;0.001,"OK","REVIEW")</f>
        <v>OK</v>
      </c>
      <c r="P286" s="53">
        <f>DATE(YEAR(D286),MONTH(D286),1)</f>
        <v>45627</v>
      </c>
    </row>
    <row r="287" ht="19" customHeight="1">
      <c r="A287" s="46" t="n">
        <v>3513</v>
      </c>
      <c r="B287" s="46" t="inlineStr">
        <is>
          <t>Sandro Gomes</t>
        </is>
      </c>
      <c r="C287" s="46" t="inlineStr">
        <is>
          <t>Core</t>
        </is>
      </c>
      <c r="D287" s="47" t="n">
        <v>45630</v>
      </c>
      <c r="E287" s="46" t="inlineStr">
        <is>
          <t>No</t>
        </is>
      </c>
      <c r="F287" s="48" t="n">
        <v>5</v>
      </c>
      <c r="G287" s="46" t="inlineStr">
        <is>
          <t>Monthly</t>
        </is>
      </c>
      <c r="H287" s="46" t="inlineStr">
        <is>
          <t>No</t>
        </is>
      </c>
      <c r="I287" s="48" t="n">
        <v>0</v>
      </c>
      <c r="J287" s="46" t="inlineStr">
        <is>
          <t>No</t>
        </is>
      </c>
      <c r="K287" s="48" t="n">
        <v>0</v>
      </c>
      <c r="L287" s="48" t="n">
        <v>1</v>
      </c>
      <c r="M287" s="48" t="n">
        <v>4</v>
      </c>
      <c r="N287" s="48">
        <f>F287+I287+K287-L287</f>
        <v>4</v>
      </c>
      <c r="O287" s="46" t="str">
        <f>IF(ABS(M287-N287)&lt;0.001,"OK","REVIEW")</f>
        <v>OK</v>
      </c>
      <c r="P287" s="49">
        <f>DATE(YEAR(D287),MONTH(D287),1)</f>
        <v>45627</v>
      </c>
    </row>
    <row r="288" ht="19" customHeight="1">
      <c r="A288" s="50" t="n">
        <v>3514</v>
      </c>
      <c r="B288" s="50" t="inlineStr">
        <is>
          <t>Tânia Machado</t>
        </is>
      </c>
      <c r="C288" s="50" t="inlineStr">
        <is>
          <t>Ultimate</t>
        </is>
      </c>
      <c r="D288" s="51" t="n">
        <v>45631</v>
      </c>
      <c r="E288" s="50" t="inlineStr">
        <is>
          <t>Yes</t>
        </is>
      </c>
      <c r="F288" s="52" t="n">
        <v>15</v>
      </c>
      <c r="G288" s="50" t="inlineStr">
        <is>
          <t>Quarterly</t>
        </is>
      </c>
      <c r="H288" s="50" t="inlineStr">
        <is>
          <t>Yes</t>
        </is>
      </c>
      <c r="I288" s="52" t="n">
        <v>30</v>
      </c>
      <c r="J288" s="50" t="inlineStr">
        <is>
          <t>Yes</t>
        </is>
      </c>
      <c r="K288" s="52" t="n">
        <v>20</v>
      </c>
      <c r="L288" s="52" t="n">
        <v>7</v>
      </c>
      <c r="M288" s="52" t="n">
        <v>58</v>
      </c>
      <c r="N288" s="52">
        <f>F288+I288+K288-L288</f>
        <v>58</v>
      </c>
      <c r="O288" s="50" t="str">
        <f>IF(ABS(M288-N288)&lt;0.001,"OK","REVIEW")</f>
        <v>OK</v>
      </c>
      <c r="P288" s="53">
        <f>DATE(YEAR(D288),MONTH(D288),1)</f>
        <v>45627</v>
      </c>
    </row>
    <row r="289" ht="19" customHeight="1">
      <c r="A289" s="46" t="n">
        <v>3515</v>
      </c>
      <c r="B289" s="46" t="inlineStr">
        <is>
          <t>Ursula Silva</t>
        </is>
      </c>
      <c r="C289" s="46" t="inlineStr">
        <is>
          <t>Standard</t>
        </is>
      </c>
      <c r="D289" s="47" t="n">
        <v>45632</v>
      </c>
      <c r="E289" s="46" t="inlineStr">
        <is>
          <t>No</t>
        </is>
      </c>
      <c r="F289" s="48" t="n">
        <v>10</v>
      </c>
      <c r="G289" s="46" t="inlineStr">
        <is>
          <t>Monthly</t>
        </is>
      </c>
      <c r="H289" s="46" t="inlineStr">
        <is>
          <t>No</t>
        </is>
      </c>
      <c r="I289" s="48" t="n">
        <v>0</v>
      </c>
      <c r="J289" s="46" t="inlineStr">
        <is>
          <t>Yes</t>
        </is>
      </c>
      <c r="K289" s="48" t="n">
        <v>20</v>
      </c>
      <c r="L289" s="48" t="n">
        <v>10</v>
      </c>
      <c r="M289" s="48" t="n">
        <v>20</v>
      </c>
      <c r="N289" s="48">
        <f>F289+I289+K289-L289</f>
        <v>20</v>
      </c>
      <c r="O289" s="46" t="str">
        <f>IF(ABS(M289-N289)&lt;0.001,"OK","REVIEW")</f>
        <v>OK</v>
      </c>
      <c r="P289" s="49">
        <f>DATE(YEAR(D289),MONTH(D289),1)</f>
        <v>45627</v>
      </c>
    </row>
    <row r="290" ht="19" customHeight="1">
      <c r="A290" s="50" t="n">
        <v>3516</v>
      </c>
      <c r="B290" s="50" t="inlineStr">
        <is>
          <t>Vanessa Moraes</t>
        </is>
      </c>
      <c r="C290" s="50" t="inlineStr">
        <is>
          <t>Core</t>
        </is>
      </c>
      <c r="D290" s="51" t="n">
        <v>45633</v>
      </c>
      <c r="E290" s="50" t="inlineStr">
        <is>
          <t>Yes</t>
        </is>
      </c>
      <c r="F290" s="52" t="n">
        <v>5</v>
      </c>
      <c r="G290" s="50" t="inlineStr">
        <is>
          <t>Annual</t>
        </is>
      </c>
      <c r="H290" s="50" t="inlineStr">
        <is>
          <t>No</t>
        </is>
      </c>
      <c r="I290" s="52" t="n">
        <v>0</v>
      </c>
      <c r="J290" s="50" t="inlineStr">
        <is>
          <t>No</t>
        </is>
      </c>
      <c r="K290" s="52" t="n">
        <v>0</v>
      </c>
      <c r="L290" s="52" t="n">
        <v>0</v>
      </c>
      <c r="M290" s="52" t="n">
        <v>5</v>
      </c>
      <c r="N290" s="52">
        <f>F290+I290+K290-L290</f>
        <v>5</v>
      </c>
      <c r="O290" s="50" t="str">
        <f>IF(ABS(M290-N290)&lt;0.001,"OK","REVIEW")</f>
        <v>OK</v>
      </c>
      <c r="P290" s="53">
        <f>DATE(YEAR(D290),MONTH(D290),1)</f>
        <v>45627</v>
      </c>
    </row>
    <row r="291" ht="19" customHeight="1">
      <c r="A291" s="46" t="n">
        <v>3517</v>
      </c>
      <c r="B291" s="46" t="inlineStr">
        <is>
          <t>William Carvalho</t>
        </is>
      </c>
      <c r="C291" s="46" t="inlineStr">
        <is>
          <t>Ultimate</t>
        </is>
      </c>
      <c r="D291" s="47" t="n">
        <v>45634</v>
      </c>
      <c r="E291" s="46" t="inlineStr">
        <is>
          <t>No</t>
        </is>
      </c>
      <c r="F291" s="48" t="n">
        <v>15</v>
      </c>
      <c r="G291" s="46" t="inlineStr">
        <is>
          <t>Monthly</t>
        </is>
      </c>
      <c r="H291" s="46" t="inlineStr">
        <is>
          <t>Yes</t>
        </is>
      </c>
      <c r="I291" s="48" t="n">
        <v>30</v>
      </c>
      <c r="J291" s="46" t="inlineStr">
        <is>
          <t>Yes</t>
        </is>
      </c>
      <c r="K291" s="48" t="n">
        <v>20</v>
      </c>
      <c r="L291" s="48" t="n">
        <v>20</v>
      </c>
      <c r="M291" s="48" t="n">
        <v>45</v>
      </c>
      <c r="N291" s="48">
        <f>F291+I291+K291-L291</f>
        <v>45</v>
      </c>
      <c r="O291" s="46" t="str">
        <f>IF(ABS(M291-N291)&lt;0.001,"OK","REVIEW")</f>
        <v>OK</v>
      </c>
      <c r="P291" s="49">
        <f>DATE(YEAR(D291),MONTH(D291),1)</f>
        <v>45627</v>
      </c>
    </row>
    <row r="292" ht="19" customHeight="1">
      <c r="A292" s="50" t="n">
        <v>3518</v>
      </c>
      <c r="B292" s="50" t="inlineStr">
        <is>
          <t>Xavier Reis</t>
        </is>
      </c>
      <c r="C292" s="50" t="inlineStr">
        <is>
          <t>Standard</t>
        </is>
      </c>
      <c r="D292" s="51" t="n">
        <v>45635</v>
      </c>
      <c r="E292" s="50" t="inlineStr">
        <is>
          <t>Yes</t>
        </is>
      </c>
      <c r="F292" s="52" t="n">
        <v>10</v>
      </c>
      <c r="G292" s="50" t="inlineStr">
        <is>
          <t>Quarterly</t>
        </is>
      </c>
      <c r="H292" s="50" t="inlineStr">
        <is>
          <t>No</t>
        </is>
      </c>
      <c r="I292" s="52" t="n">
        <v>0</v>
      </c>
      <c r="J292" s="50" t="inlineStr">
        <is>
          <t>Yes</t>
        </is>
      </c>
      <c r="K292" s="52" t="n">
        <v>20</v>
      </c>
      <c r="L292" s="52" t="n">
        <v>12</v>
      </c>
      <c r="M292" s="52" t="n">
        <v>18</v>
      </c>
      <c r="N292" s="52">
        <f>F292+I292+K292-L292</f>
        <v>18</v>
      </c>
      <c r="O292" s="50" t="str">
        <f>IF(ABS(M292-N292)&lt;0.001,"OK","REVIEW")</f>
        <v>OK</v>
      </c>
      <c r="P292" s="53">
        <f>DATE(YEAR(D292),MONTH(D292),1)</f>
        <v>45627</v>
      </c>
    </row>
    <row r="293" ht="19" customHeight="1">
      <c r="A293" s="46" t="n">
        <v>3519</v>
      </c>
      <c r="B293" s="46" t="inlineStr">
        <is>
          <t>Yasmin Rocha</t>
        </is>
      </c>
      <c r="C293" s="46" t="inlineStr">
        <is>
          <t>Core</t>
        </is>
      </c>
      <c r="D293" s="47" t="n">
        <v>45636</v>
      </c>
      <c r="E293" s="46" t="inlineStr">
        <is>
          <t>No</t>
        </is>
      </c>
      <c r="F293" s="48" t="n">
        <v>5</v>
      </c>
      <c r="G293" s="46" t="inlineStr">
        <is>
          <t>Monthly</t>
        </is>
      </c>
      <c r="H293" s="46" t="inlineStr">
        <is>
          <t>No</t>
        </is>
      </c>
      <c r="I293" s="48" t="n">
        <v>0</v>
      </c>
      <c r="J293" s="46" t="inlineStr">
        <is>
          <t>No</t>
        </is>
      </c>
      <c r="K293" s="48" t="n">
        <v>0</v>
      </c>
      <c r="L293" s="48" t="n">
        <v>2</v>
      </c>
      <c r="M293" s="48" t="n">
        <v>3</v>
      </c>
      <c r="N293" s="48">
        <f>F293+I293+K293-L293</f>
        <v>3</v>
      </c>
      <c r="O293" s="46" t="str">
        <f>IF(ABS(M293-N293)&lt;0.001,"OK","REVIEW")</f>
        <v>OK</v>
      </c>
      <c r="P293" s="49">
        <f>DATE(YEAR(D293),MONTH(D293),1)</f>
        <v>45627</v>
      </c>
    </row>
    <row r="294" ht="19" customHeight="1">
      <c r="A294" s="50" t="n">
        <v>3520</v>
      </c>
      <c r="B294" s="50" t="inlineStr">
        <is>
          <t>Zacarias Duarte</t>
        </is>
      </c>
      <c r="C294" s="50" t="inlineStr">
        <is>
          <t>Ultimate</t>
        </is>
      </c>
      <c r="D294" s="51" t="n">
        <v>45637</v>
      </c>
      <c r="E294" s="50" t="inlineStr">
        <is>
          <t>Yes</t>
        </is>
      </c>
      <c r="F294" s="52" t="n">
        <v>15</v>
      </c>
      <c r="G294" s="50" t="inlineStr">
        <is>
          <t>Annual</t>
        </is>
      </c>
      <c r="H294" s="50" t="inlineStr">
        <is>
          <t>Yes</t>
        </is>
      </c>
      <c r="I294" s="52" t="n">
        <v>30</v>
      </c>
      <c r="J294" s="50" t="inlineStr">
        <is>
          <t>Yes</t>
        </is>
      </c>
      <c r="K294" s="52" t="n">
        <v>20</v>
      </c>
      <c r="L294" s="52" t="n">
        <v>5</v>
      </c>
      <c r="M294" s="52" t="n">
        <v>60</v>
      </c>
      <c r="N294" s="52">
        <f>F294+I294+K294-L294</f>
        <v>60</v>
      </c>
      <c r="O294" s="50" t="str">
        <f>IF(ABS(M294-N294)&lt;0.001,"OK","REVIEW")</f>
        <v>OK</v>
      </c>
      <c r="P294" s="53">
        <f>DATE(YEAR(D294),MONTH(D294),1)</f>
        <v>45627</v>
      </c>
    </row>
    <row r="295" ht="19" customHeight="1">
      <c r="A295" s="46" t="n">
        <v>3521</v>
      </c>
      <c r="B295" s="46" t="inlineStr">
        <is>
          <t>Amanda Freitas</t>
        </is>
      </c>
      <c r="C295" s="46" t="inlineStr">
        <is>
          <t>Standard</t>
        </is>
      </c>
      <c r="D295" s="47" t="n">
        <v>45638</v>
      </c>
      <c r="E295" s="46" t="inlineStr">
        <is>
          <t>No</t>
        </is>
      </c>
      <c r="F295" s="48" t="n">
        <v>10</v>
      </c>
      <c r="G295" s="46" t="inlineStr">
        <is>
          <t>Monthly</t>
        </is>
      </c>
      <c r="H295" s="46" t="inlineStr">
        <is>
          <t>No</t>
        </is>
      </c>
      <c r="I295" s="48" t="n">
        <v>0</v>
      </c>
      <c r="J295" s="46" t="inlineStr">
        <is>
          <t>Yes</t>
        </is>
      </c>
      <c r="K295" s="48" t="n">
        <v>20</v>
      </c>
      <c r="L295" s="48" t="n">
        <v>10</v>
      </c>
      <c r="M295" s="48" t="n">
        <v>20</v>
      </c>
      <c r="N295" s="48">
        <f>F295+I295+K295-L295</f>
        <v>20</v>
      </c>
      <c r="O295" s="46" t="str">
        <f>IF(ABS(M295-N295)&lt;0.001,"OK","REVIEW")</f>
        <v>OK</v>
      </c>
      <c r="P295" s="49">
        <f>DATE(YEAR(D295),MONTH(D295),1)</f>
        <v>45627</v>
      </c>
    </row>
    <row r="296" ht="19" customHeight="1">
      <c r="A296" s="50" t="n">
        <v>3522</v>
      </c>
      <c r="B296" s="50" t="inlineStr">
        <is>
          <t>Bruno Almeida</t>
        </is>
      </c>
      <c r="C296" s="50" t="inlineStr">
        <is>
          <t>Core</t>
        </is>
      </c>
      <c r="D296" s="51" t="n">
        <v>45639</v>
      </c>
      <c r="E296" s="50" t="inlineStr">
        <is>
          <t>Yes</t>
        </is>
      </c>
      <c r="F296" s="52" t="n">
        <v>5</v>
      </c>
      <c r="G296" s="50" t="inlineStr">
        <is>
          <t>Quarterly</t>
        </is>
      </c>
      <c r="H296" s="50" t="inlineStr">
        <is>
          <t>No</t>
        </is>
      </c>
      <c r="I296" s="52" t="n">
        <v>0</v>
      </c>
      <c r="J296" s="50" t="inlineStr">
        <is>
          <t>No</t>
        </is>
      </c>
      <c r="K296" s="52" t="n">
        <v>0</v>
      </c>
      <c r="L296" s="52" t="n">
        <v>0</v>
      </c>
      <c r="M296" s="52" t="n">
        <v>5</v>
      </c>
      <c r="N296" s="52">
        <f>F296+I296+K296-L296</f>
        <v>5</v>
      </c>
      <c r="O296" s="50" t="str">
        <f>IF(ABS(M296-N296)&lt;0.001,"OK","REVIEW")</f>
        <v>OK</v>
      </c>
      <c r="P296" s="53">
        <f>DATE(YEAR(D296),MONTH(D296),1)</f>
        <v>45627</v>
      </c>
    </row>
    <row r="297" ht="19" customHeight="1">
      <c r="A297" s="46" t="n">
        <v>3523</v>
      </c>
      <c r="B297" s="46" t="inlineStr">
        <is>
          <t>Carla Siqueira</t>
        </is>
      </c>
      <c r="C297" s="46" t="inlineStr">
        <is>
          <t>Ultimate</t>
        </is>
      </c>
      <c r="D297" s="47" t="n">
        <v>45640</v>
      </c>
      <c r="E297" s="46" t="inlineStr">
        <is>
          <t>No</t>
        </is>
      </c>
      <c r="F297" s="48" t="n">
        <v>15</v>
      </c>
      <c r="G297" s="46" t="inlineStr">
        <is>
          <t>Monthly</t>
        </is>
      </c>
      <c r="H297" s="46" t="inlineStr">
        <is>
          <t>Yes</t>
        </is>
      </c>
      <c r="I297" s="48" t="n">
        <v>30</v>
      </c>
      <c r="J297" s="46" t="inlineStr">
        <is>
          <t>Yes</t>
        </is>
      </c>
      <c r="K297" s="48" t="n">
        <v>20</v>
      </c>
      <c r="L297" s="48" t="n">
        <v>3</v>
      </c>
      <c r="M297" s="48" t="n">
        <v>62</v>
      </c>
      <c r="N297" s="48">
        <f>F297+I297+K297-L297</f>
        <v>62</v>
      </c>
      <c r="O297" s="46" t="str">
        <f>IF(ABS(M297-N297)&lt;0.001,"OK","REVIEW")</f>
        <v>OK</v>
      </c>
      <c r="P297" s="49">
        <f>DATE(YEAR(D297),MONTH(D297),1)</f>
        <v>45627</v>
      </c>
    </row>
    <row r="298" ht="19" customHeight="1">
      <c r="A298" s="50" t="n">
        <v>3524</v>
      </c>
      <c r="B298" s="50" t="inlineStr">
        <is>
          <t>Diogo Ramos</t>
        </is>
      </c>
      <c r="C298" s="50" t="inlineStr">
        <is>
          <t>Standard</t>
        </is>
      </c>
      <c r="D298" s="51" t="n">
        <v>45641</v>
      </c>
      <c r="E298" s="50" t="inlineStr">
        <is>
          <t>Yes</t>
        </is>
      </c>
      <c r="F298" s="52" t="n">
        <v>10</v>
      </c>
      <c r="G298" s="50" t="inlineStr">
        <is>
          <t>Annual</t>
        </is>
      </c>
      <c r="H298" s="50" t="inlineStr">
        <is>
          <t>No</t>
        </is>
      </c>
      <c r="I298" s="52" t="n">
        <v>0</v>
      </c>
      <c r="J298" s="50" t="inlineStr">
        <is>
          <t>Yes</t>
        </is>
      </c>
      <c r="K298" s="52" t="n">
        <v>20</v>
      </c>
      <c r="L298" s="52" t="n">
        <v>15</v>
      </c>
      <c r="M298" s="52" t="n">
        <v>15</v>
      </c>
      <c r="N298" s="52">
        <f>F298+I298+K298-L298</f>
        <v>15</v>
      </c>
      <c r="O298" s="50" t="str">
        <f>IF(ABS(M298-N298)&lt;0.001,"OK","REVIEW")</f>
        <v>OK</v>
      </c>
      <c r="P298" s="53">
        <f>DATE(YEAR(D298),MONTH(D298),1)</f>
        <v>45627</v>
      </c>
    </row>
    <row r="299" ht="19" customHeight="1">
      <c r="A299" s="46" t="n">
        <v>3525</v>
      </c>
      <c r="B299" s="46" t="inlineStr">
        <is>
          <t>Elisa Magalhães</t>
        </is>
      </c>
      <c r="C299" s="46" t="inlineStr">
        <is>
          <t>Core</t>
        </is>
      </c>
      <c r="D299" s="47" t="n">
        <v>45642</v>
      </c>
      <c r="E299" s="46" t="inlineStr">
        <is>
          <t>No</t>
        </is>
      </c>
      <c r="F299" s="48" t="n">
        <v>5</v>
      </c>
      <c r="G299" s="46" t="inlineStr">
        <is>
          <t>Monthly</t>
        </is>
      </c>
      <c r="H299" s="46" t="inlineStr">
        <is>
          <t>No</t>
        </is>
      </c>
      <c r="I299" s="48" t="n">
        <v>0</v>
      </c>
      <c r="J299" s="46" t="inlineStr">
        <is>
          <t>No</t>
        </is>
      </c>
      <c r="K299" s="48" t="n">
        <v>0</v>
      </c>
      <c r="L299" s="48" t="n">
        <v>1</v>
      </c>
      <c r="M299" s="48" t="n">
        <v>4</v>
      </c>
      <c r="N299" s="48">
        <f>F299+I299+K299-L299</f>
        <v>4</v>
      </c>
      <c r="O299" s="46" t="str">
        <f>IF(ABS(M299-N299)&lt;0.001,"OK","REVIEW")</f>
        <v>OK</v>
      </c>
      <c r="P299" s="49">
        <f>DATE(YEAR(D299),MONTH(D299),1)</f>
        <v>45627</v>
      </c>
    </row>
  </sheetData>
  <autoFilter ref="A4:P299"/>
  <mergeCells count="3">
    <mergeCell ref="A1:I2"/>
    <mergeCell ref="A3:N3"/>
    <mergeCell ref="J1:N1"/>
  </mergeCells>
  <conditionalFormatting sqref="O5:O299">
    <cfRule type="expression" priority="1" dxfId="0">
      <formula>$O5="OK"</formula>
    </cfRule>
    <cfRule type="expression" priority="2" dxfId="1">
      <formula>$O5="REVIEW"</formula>
    </cfRule>
  </conditionalFormatting>
  <hyperlinks>
    <hyperlink ref="J2" ns1:id="rId1"/>
    <hyperlink ref="K2" ns1:id="rId2"/>
    <hyperlink ref="L2" ns1:id="rId3"/>
    <hyperlink ref="M2" ns1:id="rId4"/>
    <hyperlink ref="N2" ns1:id="rId5"/>
  </hyperlinks>
  <pageMargins left="0.25" right="0.25" top="0.35" bottom="0.35" header="0.5" footer="0.5"/>
  <pageSetup fitToHeight="0" fitToWidth="1"/>
  <headerFooter>
    <oddHeader/>
    <oddFooter>&amp;C&amp;8 &amp;K64748BXbox Sales Pulse • 0Barone (@gabrielnasciimentoleandro-arch)</oddFooter>
    <evenHeader/>
    <evenFooter/>
    <firstHeader/>
    <firstFooter/>
  </headerFooter>
  <tableParts count="1">
    <tablePart ns1:id="rId6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0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58" customWidth="1" min="4" max="4"/>
    <col width="4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4" customHeight="1">
      <c r="A1" s="1" t="inlineStr">
        <is>
          <t>DICIONÁRIO DE DADOS</t>
        </is>
      </c>
      <c r="J1" s="2" t="inlineStr">
        <is>
          <t>PROJETO AUTORAL • DIO</t>
        </is>
      </c>
    </row>
    <row r="2" ht="24" customHeight="1">
      <c r="J2" s="4" t="inlineStr">
        <is>
          <t>DASHBOARD</t>
        </is>
      </c>
      <c r="K2" s="4" t="inlineStr">
        <is>
          <t>ANÁLISE</t>
        </is>
      </c>
      <c r="L2" s="4" t="inlineStr">
        <is>
          <t>BASE</t>
        </is>
      </c>
      <c r="M2" s="3" t="inlineStr">
        <is>
          <t>DICIONÁRIO</t>
        </is>
      </c>
      <c r="N2" s="4" t="inlineStr">
        <is>
          <t>GUIA</t>
        </is>
      </c>
    </row>
    <row r="3" ht="24" customHeight="1">
      <c r="A3" s="5" t="inlineStr">
        <is>
          <t>Definições, tratamento aplicado e uso de cada campo da base didática.</t>
        </is>
      </c>
    </row>
    <row r="5">
      <c r="B5" s="27" t="inlineStr">
        <is>
          <t>Campo</t>
        </is>
      </c>
      <c r="C5" s="27" t="inlineStr">
        <is>
          <t>Tipo</t>
        </is>
      </c>
      <c r="D5" s="27" t="inlineStr">
        <is>
          <t>Descrição</t>
        </is>
      </c>
      <c r="E5" s="27" t="inlineStr">
        <is>
          <t>Tratamento / uso</t>
        </is>
      </c>
    </row>
    <row r="6" ht="38" customHeight="1">
      <c r="B6" s="28" t="inlineStr">
        <is>
          <t>Subscriber ID</t>
        </is>
      </c>
      <c r="C6" s="30" t="inlineStr">
        <is>
          <t>Inteiro</t>
        </is>
      </c>
      <c r="D6" s="30" t="inlineStr">
        <is>
          <t>Identificador único do registro.</t>
        </is>
      </c>
      <c r="E6" s="30" t="inlineStr">
        <is>
          <t>Chave primária; 295 valores únicos.</t>
        </is>
      </c>
    </row>
    <row r="7" ht="38" customHeight="1">
      <c r="B7" s="31" t="inlineStr">
        <is>
          <t>Name</t>
        </is>
      </c>
      <c r="C7" s="33" t="inlineStr">
        <is>
          <t>Texto</t>
        </is>
      </c>
      <c r="D7" s="33" t="inlineStr">
        <is>
          <t>Nome didático do assinante.</t>
        </is>
      </c>
      <c r="E7" s="33" t="inlineStr">
        <is>
          <t>Não é usado como chave porque pode se repetir.</t>
        </is>
      </c>
    </row>
    <row r="8" ht="38" customHeight="1">
      <c r="B8" s="28" t="inlineStr">
        <is>
          <t>Plan</t>
        </is>
      </c>
      <c r="C8" s="30" t="inlineStr">
        <is>
          <t>Categoria</t>
        </is>
      </c>
      <c r="D8" s="30" t="inlineStr">
        <is>
          <t>Core, Standard ou Ultimate.</t>
        </is>
      </c>
      <c r="E8" s="30" t="inlineStr">
        <is>
          <t>Filtro e agrupamento de receita.</t>
        </is>
      </c>
    </row>
    <row r="9" ht="38" customHeight="1">
      <c r="B9" s="31" t="inlineStr">
        <is>
          <t>Start Date</t>
        </is>
      </c>
      <c r="C9" s="33" t="inlineStr">
        <is>
          <t>Data</t>
        </is>
      </c>
      <c r="D9" s="33" t="inlineStr">
        <is>
          <t>Data inicial da assinatura em 2024.</t>
        </is>
      </c>
      <c r="E9" s="33" t="inlineStr">
        <is>
          <t>Agrupamento mensal e definição do período.</t>
        </is>
      </c>
    </row>
    <row r="10" ht="38" customHeight="1">
      <c r="B10" s="28" t="inlineStr">
        <is>
          <t>Auto Renewal</t>
        </is>
      </c>
      <c r="C10" s="30" t="inlineStr">
        <is>
          <t>Categoria</t>
        </is>
      </c>
      <c r="D10" s="30" t="inlineStr">
        <is>
          <t>Yes ou No para renovação automática.</t>
        </is>
      </c>
      <c r="E10" s="30" t="inlineStr">
        <is>
          <t>Filtro, taxa de recorrência e análise anual.</t>
        </is>
      </c>
    </row>
    <row r="11" ht="38" customHeight="1">
      <c r="B11" s="31" t="inlineStr">
        <is>
          <t>Subscription Price</t>
        </is>
      </c>
      <c r="C11" s="33" t="inlineStr">
        <is>
          <t>Moeda</t>
        </is>
      </c>
      <c r="D11" s="33" t="inlineStr">
        <is>
          <t>Preço-base da assinatura.</t>
        </is>
      </c>
      <c r="E11" s="33" t="inlineStr">
        <is>
          <t>Componente positivo do valor final.</t>
        </is>
      </c>
    </row>
    <row r="12" ht="38" customHeight="1">
      <c r="B12" s="28" t="inlineStr">
        <is>
          <t>Subscription Type</t>
        </is>
      </c>
      <c r="C12" s="30" t="inlineStr">
        <is>
          <t>Categoria</t>
        </is>
      </c>
      <c r="D12" s="30" t="inlineStr">
        <is>
          <t>Monthly, Quarterly ou Annual.</t>
        </is>
      </c>
      <c r="E12" s="30" t="inlineStr">
        <is>
          <t>Filtro e comparação de periodicidade.</t>
        </is>
      </c>
    </row>
    <row r="13" ht="38" customHeight="1">
      <c r="B13" s="31" t="inlineStr">
        <is>
          <t>EA Play Season Pass</t>
        </is>
      </c>
      <c r="C13" s="33" t="inlineStr">
        <is>
          <t>Categoria</t>
        </is>
      </c>
      <c r="D13" s="33" t="inlineStr">
        <is>
          <t>Adesão ao passe EA Play.</t>
        </is>
      </c>
      <c r="E13" s="33" t="inlineStr">
        <is>
          <t>Contexto do adicional.</t>
        </is>
      </c>
    </row>
    <row r="14" ht="38" customHeight="1">
      <c r="B14" s="28" t="inlineStr">
        <is>
          <t>EA Play Season Pass Price</t>
        </is>
      </c>
      <c r="C14" s="30" t="inlineStr">
        <is>
          <t>Moeda</t>
        </is>
      </c>
      <c r="D14" s="30" t="inlineStr">
        <is>
          <t>Valor do EA Play.</t>
        </is>
      </c>
      <c r="E14" s="30" t="inlineStr">
        <is>
          <t>Hífens da fonte convertidos em zero.</t>
        </is>
      </c>
    </row>
    <row r="15" ht="38" customHeight="1">
      <c r="B15" s="31" t="inlineStr">
        <is>
          <t>Minecraft Season Pass</t>
        </is>
      </c>
      <c r="C15" s="33" t="inlineStr">
        <is>
          <t>Categoria</t>
        </is>
      </c>
      <c r="D15" s="33" t="inlineStr">
        <is>
          <t>Adesão ao passe Minecraft.</t>
        </is>
      </c>
      <c r="E15" s="33" t="inlineStr">
        <is>
          <t>Contexto do adicional.</t>
        </is>
      </c>
    </row>
    <row r="16" ht="38" customHeight="1">
      <c r="B16" s="28" t="inlineStr">
        <is>
          <t>Minecraft Season Pass Price</t>
        </is>
      </c>
      <c r="C16" s="30" t="inlineStr">
        <is>
          <t>Moeda</t>
        </is>
      </c>
      <c r="D16" s="30" t="inlineStr">
        <is>
          <t>Valor do passe Minecraft.</t>
        </is>
      </c>
      <c r="E16" s="30" t="inlineStr">
        <is>
          <t>Componente positivo do valor final.</t>
        </is>
      </c>
    </row>
    <row r="17" ht="38" customHeight="1">
      <c r="B17" s="31" t="inlineStr">
        <is>
          <t>Coupon Value</t>
        </is>
      </c>
      <c r="C17" s="33" t="inlineStr">
        <is>
          <t>Moeda</t>
        </is>
      </c>
      <c r="D17" s="33" t="inlineStr">
        <is>
          <t>Desconto aplicado.</t>
        </is>
      </c>
      <c r="E17" s="33" t="inlineStr">
        <is>
          <t>Componente negativo do valor final.</t>
        </is>
      </c>
    </row>
    <row r="18" ht="38" customHeight="1">
      <c r="B18" s="28" t="inlineStr">
        <is>
          <t>Total Value</t>
        </is>
      </c>
      <c r="C18" s="30" t="inlineStr">
        <is>
          <t>Moeda</t>
        </is>
      </c>
      <c r="D18" s="30" t="inlineStr">
        <is>
          <t>Valor líquido do registro.</t>
        </is>
      </c>
      <c r="E18" s="30" t="inlineStr">
        <is>
          <t>Plano + EA + Minecraft − cupom.</t>
        </is>
      </c>
    </row>
    <row r="19" ht="38" customHeight="1">
      <c r="B19" s="31" t="inlineStr">
        <is>
          <t>Calculated Value</t>
        </is>
      </c>
      <c r="C19" s="33" t="inlineStr">
        <is>
          <t>Fórmula</t>
        </is>
      </c>
      <c r="D19" s="33" t="inlineStr">
        <is>
          <t>Recalcula a composição da receita.</t>
        </is>
      </c>
      <c r="E19" s="33" t="inlineStr">
        <is>
          <t>Usado para auditoria do Total Value.</t>
        </is>
      </c>
    </row>
    <row r="20" ht="38" customHeight="1">
      <c r="B20" s="28" t="inlineStr">
        <is>
          <t>Validation</t>
        </is>
      </c>
      <c r="C20" s="30" t="inlineStr">
        <is>
          <t>Fórmula</t>
        </is>
      </c>
      <c r="D20" s="30" t="inlineStr">
        <is>
          <t>Resultado OK ou REVIEW.</t>
        </is>
      </c>
      <c r="E20" s="30" t="inlineStr">
        <is>
          <t>295 de 295 registros validados.</t>
        </is>
      </c>
    </row>
    <row r="21" ht="38" customHeight="1">
      <c r="B21" s="31" t="inlineStr">
        <is>
          <t>Month</t>
        </is>
      </c>
      <c r="C21" s="33" t="inlineStr">
        <is>
          <t>Fórmula/Data</t>
        </is>
      </c>
      <c r="D21" s="33" t="inlineStr">
        <is>
          <t>Primeiro dia do mês de Start Date.</t>
        </is>
      </c>
      <c r="E21" s="33" t="inlineStr">
        <is>
          <t>Apoio para análise temporal.</t>
        </is>
      </c>
    </row>
    <row r="24">
      <c r="B24" s="54" t="inlineStr">
        <is>
          <t>QUALIDADE DA BASE: 295 IDs únicos, nenhuma linha vazia na tabela e 295 valores finais conferidos pela fórmula Subscription Price + EA Play + Minecraft − Coupon. O período vai de 01/01/2024 a 16/12/2024; dezembro é parcial.</t>
        </is>
      </c>
    </row>
    <row r="25"/>
    <row r="26"/>
    <row r="28">
      <c r="B28" s="55" t="inlineStr">
        <is>
          <t>FONTE: base didática disponibilizada como material de apoio do desafio DIO. O arquivo original permanece em data/base.xlsx; a aba Base contém a versão normalizada usada nos cálculos.</t>
        </is>
      </c>
    </row>
    <row r="29"/>
    <row r="30"/>
  </sheetData>
  <mergeCells count="5">
    <mergeCell ref="A3:N3"/>
    <mergeCell ref="A1:I2"/>
    <mergeCell ref="B24:E26"/>
    <mergeCell ref="J1:N1"/>
    <mergeCell ref="B28:E30"/>
  </mergeCells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N2" r:id="rId5"/>
  </hyperlinks>
  <pageMargins left="0.25" right="0.25" top="0.35" bottom="0.35" header="0.5" footer="0.5"/>
  <pageSetup fitToHeight="0" fitToWidth="1"/>
  <headerFooter>
    <oddHeader/>
    <oddFooter>&amp;C&amp;8 &amp;K64748BXbox Sales Pulse • 0Barone (@gabrielnasciimentoleandro-arch)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84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</cols>
  <sheetData>
    <row r="1" ht="24" customHeight="1">
      <c r="A1" s="1" t="inlineStr">
        <is>
          <t>GUIA E MÉTODO ABCDE</t>
        </is>
      </c>
      <c r="J1" s="2" t="inlineStr">
        <is>
          <t>PROJETO AUTORAL • DIO</t>
        </is>
      </c>
    </row>
    <row r="2" ht="24" customHeight="1">
      <c r="J2" s="4" t="inlineStr">
        <is>
          <t>DASHBOARD</t>
        </is>
      </c>
      <c r="K2" s="4" t="inlineStr">
        <is>
          <t>ANÁLISE</t>
        </is>
      </c>
      <c r="L2" s="4" t="inlineStr">
        <is>
          <t>BASE</t>
        </is>
      </c>
      <c r="M2" s="4" t="inlineStr">
        <is>
          <t>DICIONÁRIO</t>
        </is>
      </c>
      <c r="N2" s="3" t="inlineStr">
        <is>
          <t>GUIA</t>
        </is>
      </c>
    </row>
    <row r="3" ht="24" customHeight="1">
      <c r="A3" s="5" t="inlineStr">
        <is>
          <t>Como atualizar, interpretar e reproduzir o Xbox Sales Pulse.</t>
        </is>
      </c>
    </row>
    <row r="5" ht="28" customHeight="1">
      <c r="B5" s="56" t="inlineStr">
        <is>
          <t>A — Assets</t>
        </is>
      </c>
      <c r="C5" s="57" t="inlineStr">
        <is>
          <t>Identidade visual autoral: verde, grafite, azul e roxo. Nenhum logo oficial foi incorporado ao arquivo.</t>
        </is>
      </c>
    </row>
    <row r="6" ht="28" customHeight="1"/>
    <row r="8" ht="28" customHeight="1">
      <c r="B8" s="56" t="inlineStr">
        <is>
          <t>B — Base</t>
        </is>
      </c>
      <c r="C8" s="57" t="inlineStr">
        <is>
          <t>A aba Base possui 295 assinaturas normalizadas. A fonte original permanece em data/base.xlsx para auditoria.</t>
        </is>
      </c>
    </row>
    <row r="9" ht="28" customHeight="1"/>
    <row r="11" ht="28" customHeight="1">
      <c r="B11" s="56" t="inlineStr">
        <is>
          <t>C — Cálculos</t>
        </is>
      </c>
      <c r="C11" s="57" t="inlineStr">
        <is>
          <t>A aba Análise usa SUMIFS, COUNTIFS, IFERROR, COUNTIF, SUM e fórmulas de datas. Os blocos alimentam todos os gráficos.</t>
        </is>
      </c>
    </row>
    <row r="12" ht="28" customHeight="1"/>
    <row r="14" ht="28" customHeight="1">
      <c r="B14" s="56" t="inlineStr">
        <is>
          <t>D — Dashboard</t>
        </is>
      </c>
      <c r="C14" s="57" t="inlineStr">
        <is>
          <t>Escolha Plano, Periodicidade e Renovação nas células verdes. Cartões e quatro gráficos recalculam automaticamente.</t>
        </is>
      </c>
    </row>
    <row r="15" ht="28" customHeight="1"/>
    <row r="17" ht="28" customHeight="1">
      <c r="B17" s="56" t="inlineStr">
        <is>
          <t>E — Entrega</t>
        </is>
      </c>
      <c r="C17" s="57" t="inlineStr">
        <is>
          <t>O repositório inclui Excel final, base original, CSV normalizado, README, prévias, metodologia e scripts de validação.</t>
        </is>
      </c>
    </row>
    <row r="18" ht="28" customHeight="1"/>
    <row r="20" ht="28" customHeight="1">
      <c r="B20" s="56" t="inlineStr">
        <is>
          <t>Atualizar dados</t>
        </is>
      </c>
      <c r="C20" s="57" t="inlineStr">
        <is>
          <t>Substitua ou acrescente registros na aba Base mantendo as colunas. Se ultrapassar 295 linhas, amplie os intervalos das fórmulas e a tabela.</t>
        </is>
      </c>
    </row>
    <row r="21" ht="28" customHeight="1"/>
    <row r="23" ht="28" customHeight="1">
      <c r="B23" s="56" t="inlineStr">
        <is>
          <t>Perguntas do desafio</t>
        </is>
      </c>
      <c r="C23" s="57" t="inlineStr">
        <is>
          <t>Análise registra a receita anual total, anual com/sem renovação, EA Play e Minecraft. Os valores usam a base completa.</t>
        </is>
      </c>
    </row>
    <row r="24" ht="28" customHeight="1"/>
    <row r="26" ht="28" customHeight="1">
      <c r="B26" s="56" t="inlineStr">
        <is>
          <t>Contexto</t>
        </is>
      </c>
      <c r="C26" s="57" t="inlineStr">
        <is>
          <t>Janeiro e fevereiro têm apenas 2 registros cada; dezembro termina em 16/12. Não interprete a evolução mensal como série completa de demanda.</t>
        </is>
      </c>
    </row>
    <row r="27" ht="28" customHeight="1"/>
    <row r="29" ht="28" customHeight="1">
      <c r="B29" s="56" t="inlineStr">
        <is>
          <t>Compatibilidade</t>
        </is>
      </c>
      <c r="C29" s="57" t="inlineStr">
        <is>
          <t>Recomendado Microsoft Excel 2016 ou superior. Não há macros, APIs, conexões externas ou necessidade de Atualizar Tudo.</t>
        </is>
      </c>
    </row>
    <row r="30" ht="28" customHeight="1"/>
    <row r="32" ht="28" customHeight="1">
      <c r="B32" s="56" t="inlineStr">
        <is>
          <t>Reprodução</t>
        </is>
      </c>
      <c r="C32" s="57" t="inlineStr">
        <is>
          <t>Execute scripts/gerar_dashboard.py, scripts/gerar_previas.py e scripts/verificar_dashboard.py após instalar requirements.txt.</t>
        </is>
      </c>
    </row>
    <row r="33" ht="28" customHeight="1"/>
    <row r="35">
      <c r="B35" s="20" t="inlineStr">
        <is>
          <t>Autoria: 0Barone (@gabrielnasciimentoleandro-arch). Projeto educacional e não oficial. Xbox, Game Pass, EA Play e Minecraft são marcas de seus respectivos titulares.</t>
        </is>
      </c>
    </row>
    <row r="36"/>
    <row r="37"/>
    <row r="39">
      <c r="B39" s="58" t="inlineStr">
        <is>
          <t>VOLTAR AO DASHBOARD</t>
        </is>
      </c>
    </row>
    <row r="40"/>
  </sheetData>
  <mergeCells count="25">
    <mergeCell ref="B35:C37"/>
    <mergeCell ref="C20:C21"/>
    <mergeCell ref="C29:C30"/>
    <mergeCell ref="B17:B18"/>
    <mergeCell ref="B8:B9"/>
    <mergeCell ref="B11:B12"/>
    <mergeCell ref="J1:N1"/>
    <mergeCell ref="C26:C27"/>
    <mergeCell ref="B14:B15"/>
    <mergeCell ref="B29:B30"/>
    <mergeCell ref="B23:B24"/>
    <mergeCell ref="A1:I2"/>
    <mergeCell ref="C11:C12"/>
    <mergeCell ref="A3:N3"/>
    <mergeCell ref="C23:C24"/>
    <mergeCell ref="C8:C9"/>
    <mergeCell ref="C17:C18"/>
    <mergeCell ref="C32:C33"/>
    <mergeCell ref="B20:B21"/>
    <mergeCell ref="B5:B6"/>
    <mergeCell ref="B32:B33"/>
    <mergeCell ref="B26:B27"/>
    <mergeCell ref="B39:C40"/>
    <mergeCell ref="C14:C15"/>
    <mergeCell ref="C5:C6"/>
  </mergeCells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N2" r:id="rId5"/>
    <hyperlink xmlns:r="http://schemas.openxmlformats.org/officeDocument/2006/relationships" ref="B39" r:id="rId6"/>
  </hyperlinks>
  <pageMargins left="0.25" right="0.25" top="0.35" bottom="0.35" header="0.5" footer="0.5"/>
  <pageSetup fitToHeight="0" fitToWidth="1"/>
  <headerFooter>
    <oddHeader/>
    <oddFooter>&amp;C&amp;8 &amp;K64748BXbox Sales Pulse • 0Barone (@gabrielnasciimentoleandro-arch)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59" t="inlineStr">
        <is>
          <t>Listas internas para filtros</t>
        </is>
      </c>
    </row>
    <row r="3">
      <c r="A3" s="60" t="inlineStr">
        <is>
          <t>lista_planos</t>
        </is>
      </c>
      <c r="B3" s="60" t="inlineStr">
        <is>
          <t>lista_tipos</t>
        </is>
      </c>
      <c r="C3" s="60" t="inlineStr">
        <is>
          <t>lista_renovacao</t>
        </is>
      </c>
    </row>
    <row r="4">
      <c r="A4" t="inlineStr">
        <is>
          <t>Todos</t>
        </is>
      </c>
      <c r="B4" t="inlineStr">
        <is>
          <t>Todos</t>
        </is>
      </c>
      <c r="C4" t="inlineStr">
        <is>
          <t>Todos</t>
        </is>
      </c>
    </row>
    <row r="5">
      <c r="A5" t="inlineStr">
        <is>
          <t>Core</t>
        </is>
      </c>
      <c r="B5" t="inlineStr">
        <is>
          <t>Monthly</t>
        </is>
      </c>
      <c r="C5" t="inlineStr">
        <is>
          <t>Yes</t>
        </is>
      </c>
    </row>
    <row r="6">
      <c r="A6" t="inlineStr">
        <is>
          <t>Standard</t>
        </is>
      </c>
      <c r="B6" t="inlineStr">
        <is>
          <t>Quarterly</t>
        </is>
      </c>
      <c r="C6" t="inlineStr">
        <is>
          <t>No</t>
        </is>
      </c>
    </row>
    <row r="7">
      <c r="A7" t="inlineStr">
        <is>
          <t>Ultimate</t>
        </is>
      </c>
      <c r="B7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0Barone (@gabrielnasciimentoleandro-arch)</dc:creator>
  <dc:title xmlns:dc="http://purl.org/dc/elements/1.1/">Xbox Sales Pulse — Dashboard de Vendas em Excel</dc:title>
  <dc:description xmlns:dc="http://purl.org/dc/elements/1.1/">Dashboard de assinaturas com KPIs, filtros, gráficos e auditoria de dados.</dc:description>
  <dc:subject xmlns:dc="http://purl.org/dc/elements/1.1/">Projeto autoral para o desafio DIO de dashboard de vendas do Xbox</dc:subject>
  <dcterms:created xmlns:dcterms="http://purl.org/dc/terms/" xmlns:xsi="http://www.w3.org/2001/XMLSchema-instance" xsi:type="dcterms:W3CDTF">2026-10-08T20:57:29Z</dcterms:created>
  <dcterms:modified xmlns:dcterms="http://purl.org/dc/terms/" xmlns:xsi="http://www.w3.org/2001/XMLSchema-instance" xsi:type="dcterms:W3CDTF">2026-10-08T20:57:30Z</dcterms:modified>
  <cp:lastModifiedBy>gabrielnasciimentoleandro-arch</cp:lastModifiedBy>
  <cp:keywords>Excel, Xbox, Game Pass, vendas, dashboard, DIO</cp:keywords>
</cp:coreProperties>
</file>